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1" l="1"/>
  <c r="L37" i="1"/>
  <c r="L36" i="1"/>
  <c r="L45" i="1"/>
  <c r="L44" i="1"/>
  <c r="L10" i="1"/>
  <c r="L9" i="1"/>
  <c r="L8" i="1"/>
</calcChain>
</file>

<file path=xl/sharedStrings.xml><?xml version="1.0" encoding="utf-8"?>
<sst xmlns="http://schemas.openxmlformats.org/spreadsheetml/2006/main" count="80" uniqueCount="23">
  <si>
    <t xml:space="preserve">Frecuencia </t>
  </si>
  <si>
    <t>Vmax (Generador)</t>
  </si>
  <si>
    <t>Vmax(DAC)</t>
  </si>
  <si>
    <t>Filtro pasa bajo 8k</t>
  </si>
  <si>
    <t>Filtro pasa bajo 16k</t>
  </si>
  <si>
    <t>Filtro pasa bajo 22k</t>
  </si>
  <si>
    <t>Filtro pasa bajo 44k</t>
  </si>
  <si>
    <t>Filtro pasa bajo 48k</t>
  </si>
  <si>
    <t>Filtro pasa alto 8k</t>
  </si>
  <si>
    <t>Filtro pasa alto 16k</t>
  </si>
  <si>
    <t>Filtro pasa alto 22k</t>
  </si>
  <si>
    <t>Filtro pasa alto 44k</t>
  </si>
  <si>
    <t>Filtro pasa alto 48k</t>
  </si>
  <si>
    <t>Filtro pasa banda 8k</t>
  </si>
  <si>
    <t>Filtro pasa banda 16k</t>
  </si>
  <si>
    <t>Filtro pasa banda 22k</t>
  </si>
  <si>
    <t>Filtro pasa banda 44k</t>
  </si>
  <si>
    <t>Filtro pasa banda 48k</t>
  </si>
  <si>
    <t>Filtro rechaza banda 48k</t>
  </si>
  <si>
    <t>Filtro rechaza banda 8k</t>
  </si>
  <si>
    <t>Filtro rechaza banda 16k</t>
  </si>
  <si>
    <t>Filtro rechaza banda 22k</t>
  </si>
  <si>
    <t>Filtro rechaza banda 44k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</si>
</sst>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baseline="0"/>
              <a:t>Pasa bajo 8khz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Hoja1!$K$7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Hoja1!$J$8:$J$38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Hoja1!$K$8:$K$38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5-4401-B309-1D5F9CCDED05}"/>
            </c:ext>
          </c:extLst>
        </c:ser>
        <c:ser>
          <c:idx val="1"/>
          <c:order val="1"/>
          <c:tx>
            <c:strRef>
              <c:f>Hoja1!$L$7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Hoja1!$J$8:$J$38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Hoja1!$L$8:$L$38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</c:v>
                </c:pt>
                <c:pt idx="7">
                  <c:v>0.99</c:v>
                </c:pt>
                <c:pt idx="8">
                  <c:v>0.99</c:v>
                </c:pt>
                <c:pt idx="9">
                  <c:v>0.99</c:v>
                </c:pt>
                <c:pt idx="10">
                  <c:v>0.99</c:v>
                </c:pt>
                <c:pt idx="11">
                  <c:v>0.99</c:v>
                </c:pt>
                <c:pt idx="12">
                  <c:v>0.99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0.98</c:v>
                </c:pt>
                <c:pt idx="24">
                  <c:v>0.98</c:v>
                </c:pt>
                <c:pt idx="25">
                  <c:v>0.96</c:v>
                </c:pt>
                <c:pt idx="26">
                  <c:v>0.94</c:v>
                </c:pt>
                <c:pt idx="27">
                  <c:v>0.74</c:v>
                </c:pt>
                <c:pt idx="28">
                  <c:v>0.45600000000000002</c:v>
                </c:pt>
                <c:pt idx="29">
                  <c:v>0.32</c:v>
                </c:pt>
                <c:pt idx="30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95-4401-B309-1D5F9CCDE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18879"/>
        <c:axId val="106624703"/>
      </c:scatterChart>
      <c:valAx>
        <c:axId val="10661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4703"/>
        <c:crosses val="autoZero"/>
        <c:crossBetween val="midCat"/>
      </c:valAx>
      <c:valAx>
        <c:axId val="10662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1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bajo 16k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Hoja1!$K$43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Hoja1!$J$44:$J$74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Hoja1!$K$44:$K$74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76-4593-8B18-9F896D889B8C}"/>
            </c:ext>
          </c:extLst>
        </c:ser>
        <c:ser>
          <c:idx val="1"/>
          <c:order val="1"/>
          <c:tx>
            <c:strRef>
              <c:f>Hoja1!$L$43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Hoja1!$J$44:$J$74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Hoja1!$L$44:$L$74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0.98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0.96</c:v>
                </c:pt>
                <c:pt idx="24">
                  <c:v>0.96</c:v>
                </c:pt>
                <c:pt idx="25">
                  <c:v>0.96</c:v>
                </c:pt>
                <c:pt idx="26">
                  <c:v>0.94</c:v>
                </c:pt>
                <c:pt idx="27">
                  <c:v>0.76</c:v>
                </c:pt>
                <c:pt idx="28">
                  <c:v>0.57999999999999996</c:v>
                </c:pt>
                <c:pt idx="29">
                  <c:v>0.38</c:v>
                </c:pt>
                <c:pt idx="30">
                  <c:v>0.152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76-4593-8B18-9F896D889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28863"/>
        <c:axId val="106619711"/>
      </c:scatterChart>
      <c:valAx>
        <c:axId val="10662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19711"/>
        <c:crosses val="autoZero"/>
        <c:crossBetween val="midCat"/>
      </c:valAx>
      <c:valAx>
        <c:axId val="1066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bajo 22k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Hoja1!$K$79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Hoja1!$J$80:$J$110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Hoja1!$K$80:$K$110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19-4652-8E70-F80C24D6647A}"/>
            </c:ext>
          </c:extLst>
        </c:ser>
        <c:ser>
          <c:idx val="1"/>
          <c:order val="1"/>
          <c:tx>
            <c:strRef>
              <c:f>Hoja1!$L$79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Hoja1!$J$80:$J$110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Hoja1!$L$80:$L$110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1.02</c:v>
                </c:pt>
                <c:pt idx="7">
                  <c:v>1.02</c:v>
                </c:pt>
                <c:pt idx="8">
                  <c:v>1.02</c:v>
                </c:pt>
                <c:pt idx="9">
                  <c:v>1.02</c:v>
                </c:pt>
                <c:pt idx="10">
                  <c:v>1.01</c:v>
                </c:pt>
                <c:pt idx="11">
                  <c:v>1.01</c:v>
                </c:pt>
                <c:pt idx="12">
                  <c:v>1.01</c:v>
                </c:pt>
                <c:pt idx="13">
                  <c:v>1.01</c:v>
                </c:pt>
                <c:pt idx="14">
                  <c:v>1.01</c:v>
                </c:pt>
                <c:pt idx="15">
                  <c:v>1.01</c:v>
                </c:pt>
                <c:pt idx="16">
                  <c:v>1.01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0.94</c:v>
                </c:pt>
                <c:pt idx="27">
                  <c:v>0.57999999999999996</c:v>
                </c:pt>
                <c:pt idx="28">
                  <c:v>0.32</c:v>
                </c:pt>
                <c:pt idx="29">
                  <c:v>0.12</c:v>
                </c:pt>
                <c:pt idx="30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19-4652-8E70-F80C24D6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28447"/>
        <c:axId val="106628863"/>
      </c:scatterChart>
      <c:valAx>
        <c:axId val="10662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863"/>
        <c:crosses val="autoZero"/>
        <c:crossBetween val="midCat"/>
      </c:valAx>
      <c:valAx>
        <c:axId val="10662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bajo 44k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Hoja1!$K$115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Hoja1!$J$116:$J$146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Hoja1!$K$116:$K$146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0C-49F8-B349-B06B3ED6F268}"/>
            </c:ext>
          </c:extLst>
        </c:ser>
        <c:ser>
          <c:idx val="1"/>
          <c:order val="1"/>
          <c:tx>
            <c:strRef>
              <c:f>Hoja1!$L$115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Hoja1!$J$116:$J$146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Hoja1!$L$116:$L$146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1.02</c:v>
                </c:pt>
                <c:pt idx="8">
                  <c:v>1.02</c:v>
                </c:pt>
                <c:pt idx="9">
                  <c:v>1.02</c:v>
                </c:pt>
                <c:pt idx="10">
                  <c:v>1.02</c:v>
                </c:pt>
                <c:pt idx="11">
                  <c:v>1.02</c:v>
                </c:pt>
                <c:pt idx="12">
                  <c:v>1.02</c:v>
                </c:pt>
                <c:pt idx="13">
                  <c:v>1.02</c:v>
                </c:pt>
                <c:pt idx="14">
                  <c:v>1.02</c:v>
                </c:pt>
                <c:pt idx="15">
                  <c:v>1.02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0.92</c:v>
                </c:pt>
                <c:pt idx="26">
                  <c:v>0.8</c:v>
                </c:pt>
                <c:pt idx="27">
                  <c:v>0.7</c:v>
                </c:pt>
                <c:pt idx="28">
                  <c:v>0.5</c:v>
                </c:pt>
                <c:pt idx="29">
                  <c:v>0.38</c:v>
                </c:pt>
                <c:pt idx="30">
                  <c:v>0.22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0C-49F8-B349-B06B3ED6F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055359"/>
        <c:axId val="2095056607"/>
      </c:scatterChart>
      <c:valAx>
        <c:axId val="2095055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95056607"/>
        <c:crosses val="autoZero"/>
        <c:crossBetween val="midCat"/>
      </c:valAx>
      <c:valAx>
        <c:axId val="209505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95055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bajo 48k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Hoja1!$K$151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Hoja1!$J$152:$J$182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Hoja1!$K$152:$K$182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E5-4FAE-ADAE-454E292BAAEB}"/>
            </c:ext>
          </c:extLst>
        </c:ser>
        <c:ser>
          <c:idx val="1"/>
          <c:order val="1"/>
          <c:tx>
            <c:strRef>
              <c:f>Hoja1!$L$151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Hoja1!$J$152:$J$182</c:f>
              <c:numCache>
                <c:formatCode>General</c:formatCode>
                <c:ptCount val="31"/>
                <c:pt idx="0">
                  <c:v>1000</c:v>
                </c:pt>
                <c:pt idx="1">
                  <c:v>1100</c:v>
                </c:pt>
                <c:pt idx="2">
                  <c:v>1200</c:v>
                </c:pt>
                <c:pt idx="3">
                  <c:v>1300</c:v>
                </c:pt>
                <c:pt idx="4">
                  <c:v>1400</c:v>
                </c:pt>
                <c:pt idx="5">
                  <c:v>1500</c:v>
                </c:pt>
                <c:pt idx="6">
                  <c:v>1600</c:v>
                </c:pt>
                <c:pt idx="7">
                  <c:v>1700</c:v>
                </c:pt>
                <c:pt idx="8">
                  <c:v>1800</c:v>
                </c:pt>
                <c:pt idx="9">
                  <c:v>1900</c:v>
                </c:pt>
                <c:pt idx="10">
                  <c:v>2000</c:v>
                </c:pt>
                <c:pt idx="11">
                  <c:v>2100</c:v>
                </c:pt>
                <c:pt idx="12">
                  <c:v>2200</c:v>
                </c:pt>
                <c:pt idx="13">
                  <c:v>2300</c:v>
                </c:pt>
                <c:pt idx="14">
                  <c:v>2400</c:v>
                </c:pt>
                <c:pt idx="15">
                  <c:v>2500</c:v>
                </c:pt>
                <c:pt idx="16">
                  <c:v>2600</c:v>
                </c:pt>
                <c:pt idx="17">
                  <c:v>2700</c:v>
                </c:pt>
                <c:pt idx="18">
                  <c:v>2800</c:v>
                </c:pt>
                <c:pt idx="19">
                  <c:v>2900</c:v>
                </c:pt>
                <c:pt idx="20">
                  <c:v>3000</c:v>
                </c:pt>
                <c:pt idx="21">
                  <c:v>3100</c:v>
                </c:pt>
                <c:pt idx="22">
                  <c:v>3200</c:v>
                </c:pt>
                <c:pt idx="23">
                  <c:v>3300</c:v>
                </c:pt>
                <c:pt idx="24">
                  <c:v>3400</c:v>
                </c:pt>
                <c:pt idx="25">
                  <c:v>3500</c:v>
                </c:pt>
                <c:pt idx="26">
                  <c:v>3600</c:v>
                </c:pt>
                <c:pt idx="27">
                  <c:v>3700</c:v>
                </c:pt>
                <c:pt idx="28">
                  <c:v>3800</c:v>
                </c:pt>
                <c:pt idx="29">
                  <c:v>3900</c:v>
                </c:pt>
                <c:pt idx="30">
                  <c:v>4000</c:v>
                </c:pt>
              </c:numCache>
            </c:numRef>
          </c:xVal>
          <c:yVal>
            <c:numRef>
              <c:f>Hoja1!$L$152:$L$182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1.02</c:v>
                </c:pt>
                <c:pt idx="16">
                  <c:v>1.02</c:v>
                </c:pt>
                <c:pt idx="17">
                  <c:v>1.02</c:v>
                </c:pt>
                <c:pt idx="18">
                  <c:v>1.02</c:v>
                </c:pt>
                <c:pt idx="19">
                  <c:v>1.02</c:v>
                </c:pt>
                <c:pt idx="20">
                  <c:v>1.02</c:v>
                </c:pt>
                <c:pt idx="21">
                  <c:v>1.02</c:v>
                </c:pt>
                <c:pt idx="22">
                  <c:v>1.02</c:v>
                </c:pt>
                <c:pt idx="23">
                  <c:v>1.02</c:v>
                </c:pt>
                <c:pt idx="24">
                  <c:v>0.98</c:v>
                </c:pt>
                <c:pt idx="25">
                  <c:v>0.96</c:v>
                </c:pt>
                <c:pt idx="26">
                  <c:v>0.78</c:v>
                </c:pt>
                <c:pt idx="27">
                  <c:v>0.68</c:v>
                </c:pt>
                <c:pt idx="28">
                  <c:v>0.48</c:v>
                </c:pt>
                <c:pt idx="29">
                  <c:v>0.36</c:v>
                </c:pt>
                <c:pt idx="30">
                  <c:v>0.26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E5-4FAE-ADAE-454E292B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446591"/>
        <c:axId val="2013442431"/>
      </c:scatterChart>
      <c:valAx>
        <c:axId val="201344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3442431"/>
        <c:crosses val="autoZero"/>
        <c:crossBetween val="midCat"/>
      </c:valAx>
      <c:valAx>
        <c:axId val="201344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3446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alto 8k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Hoja1!$K$187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Hoja1!$J$188:$J$218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Hoja1!$K$188:$K$218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71-4810-8067-CD63A900DB03}"/>
            </c:ext>
          </c:extLst>
        </c:ser>
        <c:ser>
          <c:idx val="1"/>
          <c:order val="1"/>
          <c:tx>
            <c:strRef>
              <c:f>Hoja1!$L$187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Hoja1!$J$188:$J$218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Hoja1!$L$188:$L$218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0.65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0.92</c:v>
                </c:pt>
                <c:pt idx="8">
                  <c:v>0.92</c:v>
                </c:pt>
                <c:pt idx="9">
                  <c:v>0.92</c:v>
                </c:pt>
                <c:pt idx="10">
                  <c:v>0.92</c:v>
                </c:pt>
                <c:pt idx="11">
                  <c:v>0.92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0.92</c:v>
                </c:pt>
                <c:pt idx="16">
                  <c:v>0.92</c:v>
                </c:pt>
                <c:pt idx="17">
                  <c:v>0.92</c:v>
                </c:pt>
                <c:pt idx="18">
                  <c:v>0.92</c:v>
                </c:pt>
                <c:pt idx="19">
                  <c:v>0.92</c:v>
                </c:pt>
                <c:pt idx="20">
                  <c:v>0.92</c:v>
                </c:pt>
                <c:pt idx="21">
                  <c:v>0.92</c:v>
                </c:pt>
                <c:pt idx="22">
                  <c:v>0.92</c:v>
                </c:pt>
                <c:pt idx="23">
                  <c:v>0.92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71-4810-8067-CD63A900D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054111"/>
        <c:axId val="2095055359"/>
      </c:scatterChart>
      <c:valAx>
        <c:axId val="209505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95055359"/>
        <c:crosses val="autoZero"/>
        <c:crossBetween val="midCat"/>
      </c:valAx>
      <c:valAx>
        <c:axId val="20950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9505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alto 16k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Hoja1!$K$223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Hoja1!$J$224:$J$254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Hoja1!$K$224:$K$254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76-48EE-952C-574B7B7999CD}"/>
            </c:ext>
          </c:extLst>
        </c:ser>
        <c:ser>
          <c:idx val="1"/>
          <c:order val="1"/>
          <c:tx>
            <c:strRef>
              <c:f>Hoja1!$L$223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Hoja1!$J$224:$J$254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Hoja1!$L$224:$L$254</c:f>
              <c:numCache>
                <c:formatCode>General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0.224</c:v>
                </c:pt>
                <c:pt idx="3">
                  <c:v>0.64</c:v>
                </c:pt>
                <c:pt idx="4">
                  <c:v>0.98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0.98</c:v>
                </c:pt>
                <c:pt idx="10">
                  <c:v>0.98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76-48EE-952C-574B7B799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627615"/>
        <c:axId val="106629695"/>
      </c:scatterChart>
      <c:valAx>
        <c:axId val="106627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9695"/>
        <c:crosses val="autoZero"/>
        <c:crossBetween val="midCat"/>
      </c:valAx>
      <c:valAx>
        <c:axId val="10662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6627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alto 22k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Hoja1!$K$259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Hoja1!$J$260:$J$290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Hoja1!$K$260:$K$290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97-4E31-A7DF-996919D555EF}"/>
            </c:ext>
          </c:extLst>
        </c:ser>
        <c:ser>
          <c:idx val="1"/>
          <c:order val="1"/>
          <c:tx>
            <c:strRef>
              <c:f>Hoja1!$L$259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Hoja1!$J$260:$J$290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Hoja1!$L$260:$L$290</c:f>
              <c:numCache>
                <c:formatCode>General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0.32</c:v>
                </c:pt>
                <c:pt idx="3">
                  <c:v>0.64</c:v>
                </c:pt>
                <c:pt idx="4">
                  <c:v>0.82</c:v>
                </c:pt>
                <c:pt idx="5">
                  <c:v>0.96</c:v>
                </c:pt>
                <c:pt idx="6">
                  <c:v>0.96</c:v>
                </c:pt>
                <c:pt idx="7">
                  <c:v>0.96</c:v>
                </c:pt>
                <c:pt idx="8">
                  <c:v>0.96</c:v>
                </c:pt>
                <c:pt idx="9">
                  <c:v>0.96</c:v>
                </c:pt>
                <c:pt idx="10">
                  <c:v>0.98</c:v>
                </c:pt>
                <c:pt idx="11">
                  <c:v>0.98</c:v>
                </c:pt>
                <c:pt idx="12">
                  <c:v>0.98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F97-4E31-A7DF-996919D55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058943"/>
        <c:axId val="2084059775"/>
      </c:scatterChart>
      <c:valAx>
        <c:axId val="208405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059775"/>
        <c:crosses val="autoZero"/>
        <c:crossBetween val="midCat"/>
      </c:valAx>
      <c:valAx>
        <c:axId val="208405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05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alto 44k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Hoja1!$K$295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Hoja1!$J$296:$J$326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Hoja1!$K$296:$K$326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EF-4F15-BD89-53D9EE02ACAD}"/>
            </c:ext>
          </c:extLst>
        </c:ser>
        <c:ser>
          <c:idx val="1"/>
          <c:order val="1"/>
          <c:tx>
            <c:strRef>
              <c:f>Hoja1!$L$295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Hoja1!$J$296:$J$326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Hoja1!$L$296:$L$326</c:f>
              <c:numCache>
                <c:formatCode>General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0.36</c:v>
                </c:pt>
                <c:pt idx="3">
                  <c:v>0.6</c:v>
                </c:pt>
                <c:pt idx="4">
                  <c:v>0.86</c:v>
                </c:pt>
                <c:pt idx="5">
                  <c:v>0.95</c:v>
                </c:pt>
                <c:pt idx="6">
                  <c:v>0.96</c:v>
                </c:pt>
                <c:pt idx="7">
                  <c:v>0.96</c:v>
                </c:pt>
                <c:pt idx="8">
                  <c:v>0.96</c:v>
                </c:pt>
                <c:pt idx="9">
                  <c:v>0.96</c:v>
                </c:pt>
                <c:pt idx="10">
                  <c:v>0.96</c:v>
                </c:pt>
                <c:pt idx="11">
                  <c:v>0.97</c:v>
                </c:pt>
                <c:pt idx="12">
                  <c:v>0.97</c:v>
                </c:pt>
                <c:pt idx="13">
                  <c:v>0.96</c:v>
                </c:pt>
                <c:pt idx="14">
                  <c:v>0.96</c:v>
                </c:pt>
                <c:pt idx="15">
                  <c:v>1</c:v>
                </c:pt>
                <c:pt idx="16">
                  <c:v>1</c:v>
                </c:pt>
                <c:pt idx="17">
                  <c:v>1.02</c:v>
                </c:pt>
                <c:pt idx="18">
                  <c:v>1.02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EF-4F15-BD89-53D9EE02A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052031"/>
        <c:axId val="2012089151"/>
      </c:scatterChart>
      <c:valAx>
        <c:axId val="209505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2089151"/>
        <c:crosses val="autoZero"/>
        <c:crossBetween val="midCat"/>
      </c:valAx>
      <c:valAx>
        <c:axId val="201208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9505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alto 48k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Hoja1!$K$331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Hoja1!$J$332:$J$362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Hoja1!$K$332:$K$362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F6-4B31-8A58-52813F72E559}"/>
            </c:ext>
          </c:extLst>
        </c:ser>
        <c:ser>
          <c:idx val="1"/>
          <c:order val="1"/>
          <c:tx>
            <c:strRef>
              <c:f>Hoja1!$L$331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Hoja1!$J$332:$J$362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Hoja1!$L$332:$L$362</c:f>
              <c:numCache>
                <c:formatCode>General</c:formatCode>
                <c:ptCount val="31"/>
                <c:pt idx="0">
                  <c:v>0.01</c:v>
                </c:pt>
                <c:pt idx="1">
                  <c:v>0.32</c:v>
                </c:pt>
                <c:pt idx="2">
                  <c:v>0.46</c:v>
                </c:pt>
                <c:pt idx="3">
                  <c:v>0.6</c:v>
                </c:pt>
                <c:pt idx="4">
                  <c:v>0.8</c:v>
                </c:pt>
                <c:pt idx="5">
                  <c:v>0.98</c:v>
                </c:pt>
                <c:pt idx="6">
                  <c:v>0.98</c:v>
                </c:pt>
                <c:pt idx="7">
                  <c:v>0.98</c:v>
                </c:pt>
                <c:pt idx="8">
                  <c:v>0.98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1.02</c:v>
                </c:pt>
                <c:pt idx="18">
                  <c:v>1.02</c:v>
                </c:pt>
                <c:pt idx="19">
                  <c:v>1.02</c:v>
                </c:pt>
                <c:pt idx="20">
                  <c:v>1.02</c:v>
                </c:pt>
                <c:pt idx="21">
                  <c:v>1.02</c:v>
                </c:pt>
                <c:pt idx="22">
                  <c:v>1.02</c:v>
                </c:pt>
                <c:pt idx="23">
                  <c:v>1.02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F6-4B31-8A58-52813F72E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4064351"/>
        <c:axId val="2013448255"/>
      </c:scatterChart>
      <c:valAx>
        <c:axId val="208406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13448255"/>
        <c:crosses val="autoZero"/>
        <c:crossBetween val="midCat"/>
      </c:valAx>
      <c:valAx>
        <c:axId val="20134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406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banda 8k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Hoja1!$K$367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Hoja1!$J$368:$J$398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Hoja1!$K$368:$K$398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5B-4496-A0A6-698ED3C93DD3}"/>
            </c:ext>
          </c:extLst>
        </c:ser>
        <c:ser>
          <c:idx val="1"/>
          <c:order val="1"/>
          <c:tx>
            <c:strRef>
              <c:f>Hoja1!$L$367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Hoja1!$J$368:$J$398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Hoja1!$L$368:$L$398</c:f>
              <c:numCache>
                <c:formatCode>General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0.36</c:v>
                </c:pt>
                <c:pt idx="3">
                  <c:v>0.92</c:v>
                </c:pt>
                <c:pt idx="4">
                  <c:v>0.96</c:v>
                </c:pt>
                <c:pt idx="5">
                  <c:v>1</c:v>
                </c:pt>
                <c:pt idx="6">
                  <c:v>1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</c:v>
                </c:pt>
                <c:pt idx="23">
                  <c:v>1</c:v>
                </c:pt>
                <c:pt idx="24">
                  <c:v>0.2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5B-4496-A0A6-698ED3C93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99695"/>
        <c:axId val="1023100111"/>
      </c:scatterChart>
      <c:valAx>
        <c:axId val="102309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100111"/>
        <c:crosses val="autoZero"/>
        <c:crossBetween val="midCat"/>
      </c:valAx>
      <c:valAx>
        <c:axId val="102310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099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banda 16k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Hoja1!$K$403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Hoja1!$J$404:$J$434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Hoja1!$K$404:$K$434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D0-4109-B96F-CE8B9534293D}"/>
            </c:ext>
          </c:extLst>
        </c:ser>
        <c:ser>
          <c:idx val="1"/>
          <c:order val="1"/>
          <c:tx>
            <c:strRef>
              <c:f>Hoja1!$L$403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Hoja1!$J$404:$J$434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Hoja1!$L$404:$L$434</c:f>
              <c:numCache>
                <c:formatCode>General</c:formatCode>
                <c:ptCount val="31"/>
                <c:pt idx="0">
                  <c:v>0.01</c:v>
                </c:pt>
                <c:pt idx="1">
                  <c:v>0.16</c:v>
                </c:pt>
                <c:pt idx="2">
                  <c:v>0.52</c:v>
                </c:pt>
                <c:pt idx="3">
                  <c:v>0.98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0.9</c:v>
                </c:pt>
                <c:pt idx="23">
                  <c:v>0.68</c:v>
                </c:pt>
                <c:pt idx="24">
                  <c:v>0.28000000000000003</c:v>
                </c:pt>
                <c:pt idx="25">
                  <c:v>0.08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D0-4109-B96F-CE8B95342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967"/>
        <c:axId val="1025340799"/>
      </c:scatterChart>
      <c:valAx>
        <c:axId val="10253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5340799"/>
        <c:crosses val="autoZero"/>
        <c:crossBetween val="midCat"/>
      </c:valAx>
      <c:valAx>
        <c:axId val="10253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533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banda 22k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Hoja1!$K$439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Hoja1!$J$440:$J$470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Hoja1!$K$440:$K$470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69-46CD-946D-0EE958BBA977}"/>
            </c:ext>
          </c:extLst>
        </c:ser>
        <c:ser>
          <c:idx val="1"/>
          <c:order val="1"/>
          <c:tx>
            <c:strRef>
              <c:f>Hoja1!$L$439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Hoja1!$J$440:$J$470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Hoja1!$L$440:$L$470</c:f>
              <c:numCache>
                <c:formatCode>General</c:formatCode>
                <c:ptCount val="31"/>
                <c:pt idx="0">
                  <c:v>0.01</c:v>
                </c:pt>
                <c:pt idx="1">
                  <c:v>0.12</c:v>
                </c:pt>
                <c:pt idx="2">
                  <c:v>0.16</c:v>
                </c:pt>
                <c:pt idx="3">
                  <c:v>0.4</c:v>
                </c:pt>
                <c:pt idx="4">
                  <c:v>0.98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</c:v>
                </c:pt>
                <c:pt idx="17">
                  <c:v>1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0.98</c:v>
                </c:pt>
                <c:pt idx="22">
                  <c:v>0.98</c:v>
                </c:pt>
                <c:pt idx="23">
                  <c:v>0.6</c:v>
                </c:pt>
                <c:pt idx="24">
                  <c:v>0.08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69-46CD-946D-0EE958BB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48303"/>
        <c:axId val="1026349663"/>
      </c:scatterChart>
      <c:valAx>
        <c:axId val="102304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6349663"/>
        <c:crosses val="autoZero"/>
        <c:crossBetween val="midCat"/>
      </c:valAx>
      <c:valAx>
        <c:axId val="102634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048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banda 44k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Hoja1!$K$475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Hoja1!$J$476:$J$506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Hoja1!$K$476:$K$506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FD-4E71-A4C2-AFDD4E1C917A}"/>
            </c:ext>
          </c:extLst>
        </c:ser>
        <c:ser>
          <c:idx val="1"/>
          <c:order val="1"/>
          <c:tx>
            <c:strRef>
              <c:f>Hoja1!$L$475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Hoja1!$J$476:$J$506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Hoja1!$L$476:$L$506</c:f>
              <c:numCache>
                <c:formatCode>General</c:formatCode>
                <c:ptCount val="31"/>
                <c:pt idx="0">
                  <c:v>0.01</c:v>
                </c:pt>
                <c:pt idx="1">
                  <c:v>0.16</c:v>
                </c:pt>
                <c:pt idx="2">
                  <c:v>0.36</c:v>
                </c:pt>
                <c:pt idx="3">
                  <c:v>0.64</c:v>
                </c:pt>
                <c:pt idx="4">
                  <c:v>0.8</c:v>
                </c:pt>
                <c:pt idx="5">
                  <c:v>0.96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0.98</c:v>
                </c:pt>
                <c:pt idx="21">
                  <c:v>1</c:v>
                </c:pt>
                <c:pt idx="22">
                  <c:v>0.76</c:v>
                </c:pt>
                <c:pt idx="23">
                  <c:v>0.64</c:v>
                </c:pt>
                <c:pt idx="24">
                  <c:v>0.36</c:v>
                </c:pt>
                <c:pt idx="25">
                  <c:v>0.12</c:v>
                </c:pt>
                <c:pt idx="26">
                  <c:v>0.08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FD-4E71-A4C2-AFDD4E1C9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048303"/>
        <c:axId val="1023047055"/>
      </c:scatterChart>
      <c:valAx>
        <c:axId val="1023048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047055"/>
        <c:crosses val="autoZero"/>
        <c:crossBetween val="midCat"/>
      </c:valAx>
      <c:valAx>
        <c:axId val="102304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048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Pasa</a:t>
            </a:r>
            <a:r>
              <a:rPr lang="es-AR" baseline="0"/>
              <a:t> banda 48k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Hoja1!$K$511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Hoja1!$J$512:$J$542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Hoja1!$K$512:$K$542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DB-44C0-BB20-DBBA246B457A}"/>
            </c:ext>
          </c:extLst>
        </c:ser>
        <c:ser>
          <c:idx val="1"/>
          <c:order val="1"/>
          <c:tx>
            <c:strRef>
              <c:f>Hoja1!$L$511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Hoja1!$J$512:$J$542</c:f>
              <c:numCache>
                <c:formatCode>General</c:formatCode>
                <c:ptCount val="31"/>
                <c:pt idx="0">
                  <c:v>100</c:v>
                </c:pt>
                <c:pt idx="1">
                  <c:v>250</c:v>
                </c:pt>
                <c:pt idx="2">
                  <c:v>400</c:v>
                </c:pt>
                <c:pt idx="3">
                  <c:v>550</c:v>
                </c:pt>
                <c:pt idx="4">
                  <c:v>700</c:v>
                </c:pt>
                <c:pt idx="5">
                  <c:v>850</c:v>
                </c:pt>
                <c:pt idx="6">
                  <c:v>1000</c:v>
                </c:pt>
                <c:pt idx="7">
                  <c:v>1150</c:v>
                </c:pt>
                <c:pt idx="8">
                  <c:v>1300</c:v>
                </c:pt>
                <c:pt idx="9">
                  <c:v>1450</c:v>
                </c:pt>
                <c:pt idx="10">
                  <c:v>1600</c:v>
                </c:pt>
                <c:pt idx="11">
                  <c:v>1750</c:v>
                </c:pt>
                <c:pt idx="12">
                  <c:v>1900</c:v>
                </c:pt>
                <c:pt idx="13">
                  <c:v>2050</c:v>
                </c:pt>
                <c:pt idx="14">
                  <c:v>2200</c:v>
                </c:pt>
                <c:pt idx="15">
                  <c:v>2350</c:v>
                </c:pt>
                <c:pt idx="16">
                  <c:v>2500</c:v>
                </c:pt>
                <c:pt idx="17">
                  <c:v>2650</c:v>
                </c:pt>
                <c:pt idx="18">
                  <c:v>2800</c:v>
                </c:pt>
                <c:pt idx="19">
                  <c:v>2950</c:v>
                </c:pt>
                <c:pt idx="20">
                  <c:v>3100</c:v>
                </c:pt>
                <c:pt idx="21">
                  <c:v>3250</c:v>
                </c:pt>
                <c:pt idx="22">
                  <c:v>3400</c:v>
                </c:pt>
                <c:pt idx="23">
                  <c:v>3550</c:v>
                </c:pt>
                <c:pt idx="24">
                  <c:v>3700</c:v>
                </c:pt>
                <c:pt idx="25">
                  <c:v>3850</c:v>
                </c:pt>
                <c:pt idx="26">
                  <c:v>4000</c:v>
                </c:pt>
                <c:pt idx="27">
                  <c:v>4150</c:v>
                </c:pt>
                <c:pt idx="28">
                  <c:v>4300</c:v>
                </c:pt>
                <c:pt idx="29">
                  <c:v>4450</c:v>
                </c:pt>
                <c:pt idx="30">
                  <c:v>4600</c:v>
                </c:pt>
              </c:numCache>
            </c:numRef>
          </c:xVal>
          <c:yVal>
            <c:numRef>
              <c:f>Hoja1!$L$512:$L$542</c:f>
              <c:numCache>
                <c:formatCode>General</c:formatCode>
                <c:ptCount val="31"/>
                <c:pt idx="0">
                  <c:v>0.01</c:v>
                </c:pt>
                <c:pt idx="1">
                  <c:v>0.16</c:v>
                </c:pt>
                <c:pt idx="2">
                  <c:v>0.36</c:v>
                </c:pt>
                <c:pt idx="3">
                  <c:v>0.46</c:v>
                </c:pt>
                <c:pt idx="4">
                  <c:v>0.8</c:v>
                </c:pt>
                <c:pt idx="5">
                  <c:v>0.92</c:v>
                </c:pt>
                <c:pt idx="6">
                  <c:v>0.98</c:v>
                </c:pt>
                <c:pt idx="7">
                  <c:v>1</c:v>
                </c:pt>
                <c:pt idx="8">
                  <c:v>1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</c:v>
                </c:pt>
                <c:pt idx="14">
                  <c:v>1.04</c:v>
                </c:pt>
                <c:pt idx="15">
                  <c:v>0.98</c:v>
                </c:pt>
                <c:pt idx="16">
                  <c:v>0.98</c:v>
                </c:pt>
                <c:pt idx="17">
                  <c:v>0.98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0.96</c:v>
                </c:pt>
                <c:pt idx="22">
                  <c:v>0.64</c:v>
                </c:pt>
                <c:pt idx="23">
                  <c:v>0.52</c:v>
                </c:pt>
                <c:pt idx="24">
                  <c:v>0.2</c:v>
                </c:pt>
                <c:pt idx="25">
                  <c:v>0.12</c:v>
                </c:pt>
                <c:pt idx="26">
                  <c:v>0.08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DB-44C0-BB20-DBBA246B4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8719"/>
        <c:axId val="1023105103"/>
      </c:scatterChart>
      <c:valAx>
        <c:axId val="102533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105103"/>
        <c:crosses val="autoZero"/>
        <c:crossBetween val="midCat"/>
      </c:valAx>
      <c:valAx>
        <c:axId val="102310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5338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Rechaza</a:t>
            </a:r>
            <a:r>
              <a:rPr lang="es-AR" baseline="0"/>
              <a:t> banda 8k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Hoja1!$K$547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Hoja1!$J$548:$J$578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Hoja1!$K$548:$K$578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BD-409A-ADA7-A0F0B54227A5}"/>
            </c:ext>
          </c:extLst>
        </c:ser>
        <c:ser>
          <c:idx val="1"/>
          <c:order val="1"/>
          <c:tx>
            <c:strRef>
              <c:f>Hoja1!$L$547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Hoja1!$J$548:$J$578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Hoja1!$L$548:$L$578</c:f>
              <c:numCache>
                <c:formatCode>General</c:formatCode>
                <c:ptCount val="31"/>
                <c:pt idx="0">
                  <c:v>1.04</c:v>
                </c:pt>
                <c:pt idx="1">
                  <c:v>1</c:v>
                </c:pt>
                <c:pt idx="2">
                  <c:v>1.04</c:v>
                </c:pt>
                <c:pt idx="3">
                  <c:v>0.57999999999999996</c:v>
                </c:pt>
                <c:pt idx="4">
                  <c:v>0.12</c:v>
                </c:pt>
                <c:pt idx="5">
                  <c:v>0.01</c:v>
                </c:pt>
                <c:pt idx="6">
                  <c:v>0.4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0.98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BD-409A-ADA7-A0F0B5422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50847"/>
        <c:axId val="1023104271"/>
      </c:scatterChart>
      <c:valAx>
        <c:axId val="94405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104271"/>
        <c:crosses val="autoZero"/>
        <c:crossBetween val="midCat"/>
      </c:valAx>
      <c:valAx>
        <c:axId val="102310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4405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Rechaza</a:t>
            </a:r>
            <a:r>
              <a:rPr lang="es-AR" baseline="0"/>
              <a:t> banda 16k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Hoja1!$K$583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Hoja1!$J$584:$J$614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Hoja1!$K$584:$K$614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48-48CE-BBF0-8B2DE73940D6}"/>
            </c:ext>
          </c:extLst>
        </c:ser>
        <c:ser>
          <c:idx val="1"/>
          <c:order val="1"/>
          <c:tx>
            <c:strRef>
              <c:f>Hoja1!$L$583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Hoja1!$J$584:$J$614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Hoja1!$L$584:$L$614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0.98</c:v>
                </c:pt>
                <c:pt idx="3">
                  <c:v>0.86</c:v>
                </c:pt>
                <c:pt idx="4">
                  <c:v>0.16</c:v>
                </c:pt>
                <c:pt idx="5">
                  <c:v>0.01</c:v>
                </c:pt>
                <c:pt idx="6">
                  <c:v>0.8</c:v>
                </c:pt>
                <c:pt idx="7">
                  <c:v>0.84</c:v>
                </c:pt>
                <c:pt idx="8">
                  <c:v>1</c:v>
                </c:pt>
                <c:pt idx="9">
                  <c:v>0.98</c:v>
                </c:pt>
                <c:pt idx="10">
                  <c:v>0.98</c:v>
                </c:pt>
                <c:pt idx="11">
                  <c:v>0.98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348-48CE-BBF0-8B2DE7394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967"/>
        <c:axId val="1023046223"/>
      </c:scatterChart>
      <c:valAx>
        <c:axId val="10253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3046223"/>
        <c:crosses val="autoZero"/>
        <c:crossBetween val="midCat"/>
      </c:valAx>
      <c:valAx>
        <c:axId val="102304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25339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Rechaza</a:t>
            </a:r>
            <a:r>
              <a:rPr lang="es-AR" baseline="0"/>
              <a:t> banda 22k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Hoja1!$K$619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Hoja1!$J$620:$J$650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Hoja1!$K$620:$K$650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21-4622-BCCB-CE391C1AB433}"/>
            </c:ext>
          </c:extLst>
        </c:ser>
        <c:ser>
          <c:idx val="1"/>
          <c:order val="1"/>
          <c:tx>
            <c:strRef>
              <c:f>Hoja1!$L$619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Hoja1!$J$620:$J$650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Hoja1!$L$620:$L$650</c:f>
              <c:numCache>
                <c:formatCode>General</c:formatCode>
                <c:ptCount val="31"/>
                <c:pt idx="0">
                  <c:v>1.04</c:v>
                </c:pt>
                <c:pt idx="1">
                  <c:v>1</c:v>
                </c:pt>
                <c:pt idx="2">
                  <c:v>0.78</c:v>
                </c:pt>
                <c:pt idx="3">
                  <c:v>0.4</c:v>
                </c:pt>
                <c:pt idx="4">
                  <c:v>0.14000000000000001</c:v>
                </c:pt>
                <c:pt idx="5">
                  <c:v>0.04</c:v>
                </c:pt>
                <c:pt idx="6">
                  <c:v>0.2</c:v>
                </c:pt>
                <c:pt idx="7">
                  <c:v>0.6</c:v>
                </c:pt>
                <c:pt idx="8">
                  <c:v>0.94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0.98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21-4622-BCCB-CE391C1A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6385055"/>
        <c:axId val="1076387967"/>
      </c:scatterChart>
      <c:valAx>
        <c:axId val="107638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6387967"/>
        <c:crosses val="autoZero"/>
        <c:crossBetween val="midCat"/>
      </c:valAx>
      <c:valAx>
        <c:axId val="10763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7638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Rechaza</a:t>
            </a:r>
            <a:r>
              <a:rPr lang="es-AR" baseline="0"/>
              <a:t> banda 44k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Hoja1!$K$655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Hoja1!$J$656:$J$686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Hoja1!$K$656:$K$686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D1-4066-B832-54B6E6082DA8}"/>
            </c:ext>
          </c:extLst>
        </c:ser>
        <c:ser>
          <c:idx val="1"/>
          <c:order val="1"/>
          <c:tx>
            <c:strRef>
              <c:f>Hoja1!$L$655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Hoja1!$J$656:$J$686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Hoja1!$L$656:$L$686</c:f>
              <c:numCache>
                <c:formatCode>General</c:formatCode>
                <c:ptCount val="31"/>
                <c:pt idx="0">
                  <c:v>0.88</c:v>
                </c:pt>
                <c:pt idx="1">
                  <c:v>0.72</c:v>
                </c:pt>
                <c:pt idx="2">
                  <c:v>0.52</c:v>
                </c:pt>
                <c:pt idx="3">
                  <c:v>0.32</c:v>
                </c:pt>
                <c:pt idx="4">
                  <c:v>0.16</c:v>
                </c:pt>
                <c:pt idx="5">
                  <c:v>0.08</c:v>
                </c:pt>
                <c:pt idx="6">
                  <c:v>0.08</c:v>
                </c:pt>
                <c:pt idx="7">
                  <c:v>0.2</c:v>
                </c:pt>
                <c:pt idx="8">
                  <c:v>0.42</c:v>
                </c:pt>
                <c:pt idx="9">
                  <c:v>0.68</c:v>
                </c:pt>
                <c:pt idx="10">
                  <c:v>0.94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0.98</c:v>
                </c:pt>
                <c:pt idx="16">
                  <c:v>0.96</c:v>
                </c:pt>
                <c:pt idx="17">
                  <c:v>0.96</c:v>
                </c:pt>
                <c:pt idx="18">
                  <c:v>0.95</c:v>
                </c:pt>
                <c:pt idx="19">
                  <c:v>0.96</c:v>
                </c:pt>
                <c:pt idx="20">
                  <c:v>0.98</c:v>
                </c:pt>
                <c:pt idx="21">
                  <c:v>0.98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0.98</c:v>
                </c:pt>
                <c:pt idx="27">
                  <c:v>0.98</c:v>
                </c:pt>
                <c:pt idx="28">
                  <c:v>0.98</c:v>
                </c:pt>
                <c:pt idx="29">
                  <c:v>0.98</c:v>
                </c:pt>
                <c:pt idx="30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D1-4066-B832-54B6E6082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755423"/>
        <c:axId val="1080744607"/>
      </c:scatterChart>
      <c:valAx>
        <c:axId val="108075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80744607"/>
        <c:crosses val="autoZero"/>
        <c:crossBetween val="midCat"/>
      </c:valAx>
      <c:valAx>
        <c:axId val="108074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80755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Rechaza</a:t>
            </a:r>
            <a:r>
              <a:rPr lang="es-AR" baseline="0"/>
              <a:t> banda 48k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Hoja1!$K$691</c:f>
              <c:strCache>
                <c:ptCount val="1"/>
                <c:pt idx="0">
                  <c:v>Vmax (Generador)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Hoja1!$J$692:$J$722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Hoja1!$K$692:$K$722</c:f>
              <c:numCache>
                <c:formatCode>General</c:formatCode>
                <c:ptCount val="31"/>
                <c:pt idx="0">
                  <c:v>1.04</c:v>
                </c:pt>
                <c:pt idx="1">
                  <c:v>1.04</c:v>
                </c:pt>
                <c:pt idx="2">
                  <c:v>1.04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1.04</c:v>
                </c:pt>
                <c:pt idx="7">
                  <c:v>1.04</c:v>
                </c:pt>
                <c:pt idx="8">
                  <c:v>1.04</c:v>
                </c:pt>
                <c:pt idx="9">
                  <c:v>1.04</c:v>
                </c:pt>
                <c:pt idx="10">
                  <c:v>1.04</c:v>
                </c:pt>
                <c:pt idx="11">
                  <c:v>1.04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1.04</c:v>
                </c:pt>
                <c:pt idx="19">
                  <c:v>1.04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1.04</c:v>
                </c:pt>
                <c:pt idx="24">
                  <c:v>1.04</c:v>
                </c:pt>
                <c:pt idx="25">
                  <c:v>1.04</c:v>
                </c:pt>
                <c:pt idx="26">
                  <c:v>1.04</c:v>
                </c:pt>
                <c:pt idx="27">
                  <c:v>1.04</c:v>
                </c:pt>
                <c:pt idx="28">
                  <c:v>1.04</c:v>
                </c:pt>
                <c:pt idx="29">
                  <c:v>1.04</c:v>
                </c:pt>
                <c:pt idx="30">
                  <c:v>1.04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BB-416C-97EE-AAE689FE6F30}"/>
            </c:ext>
          </c:extLst>
        </c:ser>
        <c:ser>
          <c:idx val="1"/>
          <c:order val="1"/>
          <c:tx>
            <c:strRef>
              <c:f>Hoja1!$L$691</c:f>
              <c:strCache>
                <c:ptCount val="1"/>
                <c:pt idx="0">
                  <c:v>Vmax(DAC)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Hoja1!$J$692:$J$722</c:f>
              <c:numCache>
                <c:formatCode>General</c:formatCode>
                <c:ptCount val="3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</c:numCache>
            </c:numRef>
          </c:xVal>
          <c:yVal>
            <c:numRef>
              <c:f>Hoja1!$L$692:$L$722</c:f>
              <c:numCache>
                <c:formatCode>General</c:formatCode>
                <c:ptCount val="31"/>
                <c:pt idx="0">
                  <c:v>0.84</c:v>
                </c:pt>
                <c:pt idx="1">
                  <c:v>0.78</c:v>
                </c:pt>
                <c:pt idx="2">
                  <c:v>0.54</c:v>
                </c:pt>
                <c:pt idx="3">
                  <c:v>0.34</c:v>
                </c:pt>
                <c:pt idx="4">
                  <c:v>0.22</c:v>
                </c:pt>
                <c:pt idx="5">
                  <c:v>0.14000000000000001</c:v>
                </c:pt>
                <c:pt idx="6">
                  <c:v>0.1</c:v>
                </c:pt>
                <c:pt idx="7">
                  <c:v>0.18</c:v>
                </c:pt>
                <c:pt idx="8">
                  <c:v>0.34</c:v>
                </c:pt>
                <c:pt idx="9">
                  <c:v>0.52</c:v>
                </c:pt>
                <c:pt idx="10">
                  <c:v>0.7</c:v>
                </c:pt>
                <c:pt idx="11">
                  <c:v>0.9</c:v>
                </c:pt>
                <c:pt idx="12">
                  <c:v>1.04</c:v>
                </c:pt>
                <c:pt idx="13">
                  <c:v>1.04</c:v>
                </c:pt>
                <c:pt idx="14">
                  <c:v>1.04</c:v>
                </c:pt>
                <c:pt idx="15">
                  <c:v>1.04</c:v>
                </c:pt>
                <c:pt idx="16">
                  <c:v>1.04</c:v>
                </c:pt>
                <c:pt idx="17">
                  <c:v>1.04</c:v>
                </c:pt>
                <c:pt idx="18">
                  <c:v>1</c:v>
                </c:pt>
                <c:pt idx="19">
                  <c:v>1</c:v>
                </c:pt>
                <c:pt idx="20">
                  <c:v>0.98</c:v>
                </c:pt>
                <c:pt idx="21">
                  <c:v>0.98</c:v>
                </c:pt>
                <c:pt idx="22">
                  <c:v>0.98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BB-416C-97EE-AAE689FE6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759919"/>
        <c:axId val="917757007"/>
      </c:scatterChart>
      <c:valAx>
        <c:axId val="91775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7757007"/>
        <c:crosses val="autoZero"/>
        <c:crossBetween val="midCat"/>
      </c:valAx>
      <c:valAx>
        <c:axId val="91775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17759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180974</xdr:colOff>
      <xdr:row>4</xdr:row>
      <xdr:rowOff>200024</xdr:rowOff>
    </xdr:from>
    <xdr:to>
      <xdr:col>23</xdr:col>
      <xdr:colOff>9525</xdr:colOff>
      <xdr:row>37</xdr:row>
      <xdr:rowOff>190500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200025</xdr:colOff>
      <xdr:row>40</xdr:row>
      <xdr:rowOff>200024</xdr:rowOff>
    </xdr:from>
    <xdr:to>
      <xdr:col>23</xdr:col>
      <xdr:colOff>9525</xdr:colOff>
      <xdr:row>74</xdr:row>
      <xdr:rowOff>9524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200025</xdr:colOff>
      <xdr:row>77</xdr:row>
      <xdr:rowOff>0</xdr:rowOff>
    </xdr:from>
    <xdr:to>
      <xdr:col>23</xdr:col>
      <xdr:colOff>9525</xdr:colOff>
      <xdr:row>110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209549</xdr:colOff>
      <xdr:row>113</xdr:row>
      <xdr:rowOff>9525</xdr:rowOff>
    </xdr:from>
    <xdr:to>
      <xdr:col>23</xdr:col>
      <xdr:colOff>9524</xdr:colOff>
      <xdr:row>146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238124</xdr:colOff>
      <xdr:row>149</xdr:row>
      <xdr:rowOff>0</xdr:rowOff>
    </xdr:from>
    <xdr:to>
      <xdr:col>22</xdr:col>
      <xdr:colOff>609599</xdr:colOff>
      <xdr:row>182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238124</xdr:colOff>
      <xdr:row>185</xdr:row>
      <xdr:rowOff>9525</xdr:rowOff>
    </xdr:from>
    <xdr:to>
      <xdr:col>23</xdr:col>
      <xdr:colOff>19049</xdr:colOff>
      <xdr:row>217</xdr:row>
      <xdr:rowOff>190500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247650</xdr:colOff>
      <xdr:row>220</xdr:row>
      <xdr:rowOff>200024</xdr:rowOff>
    </xdr:from>
    <xdr:to>
      <xdr:col>23</xdr:col>
      <xdr:colOff>0</xdr:colOff>
      <xdr:row>253</xdr:row>
      <xdr:rowOff>180974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257174</xdr:colOff>
      <xdr:row>257</xdr:row>
      <xdr:rowOff>9524</xdr:rowOff>
    </xdr:from>
    <xdr:to>
      <xdr:col>22</xdr:col>
      <xdr:colOff>609599</xdr:colOff>
      <xdr:row>289</xdr:row>
      <xdr:rowOff>190499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257174</xdr:colOff>
      <xdr:row>293</xdr:row>
      <xdr:rowOff>9524</xdr:rowOff>
    </xdr:from>
    <xdr:to>
      <xdr:col>22</xdr:col>
      <xdr:colOff>609599</xdr:colOff>
      <xdr:row>326</xdr:row>
      <xdr:rowOff>9524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276224</xdr:colOff>
      <xdr:row>329</xdr:row>
      <xdr:rowOff>0</xdr:rowOff>
    </xdr:from>
    <xdr:to>
      <xdr:col>22</xdr:col>
      <xdr:colOff>609599</xdr:colOff>
      <xdr:row>361</xdr:row>
      <xdr:rowOff>180975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323849</xdr:colOff>
      <xdr:row>365</xdr:row>
      <xdr:rowOff>9524</xdr:rowOff>
    </xdr:from>
    <xdr:to>
      <xdr:col>23</xdr:col>
      <xdr:colOff>28574</xdr:colOff>
      <xdr:row>398</xdr:row>
      <xdr:rowOff>9524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352424</xdr:colOff>
      <xdr:row>401</xdr:row>
      <xdr:rowOff>0</xdr:rowOff>
    </xdr:from>
    <xdr:to>
      <xdr:col>22</xdr:col>
      <xdr:colOff>609599</xdr:colOff>
      <xdr:row>434</xdr:row>
      <xdr:rowOff>9525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352424</xdr:colOff>
      <xdr:row>437</xdr:row>
      <xdr:rowOff>0</xdr:rowOff>
    </xdr:from>
    <xdr:to>
      <xdr:col>22</xdr:col>
      <xdr:colOff>609599</xdr:colOff>
      <xdr:row>469</xdr:row>
      <xdr:rowOff>180975</xdr:rowOff>
    </xdr:to>
    <xdr:graphicFrame macro="">
      <xdr:nvGraphicFramePr>
        <xdr:cNvPr id="14" name="Gráfico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371474</xdr:colOff>
      <xdr:row>473</xdr:row>
      <xdr:rowOff>9524</xdr:rowOff>
    </xdr:from>
    <xdr:to>
      <xdr:col>22</xdr:col>
      <xdr:colOff>609599</xdr:colOff>
      <xdr:row>505</xdr:row>
      <xdr:rowOff>180974</xdr:rowOff>
    </xdr:to>
    <xdr:graphicFrame macro="">
      <xdr:nvGraphicFramePr>
        <xdr:cNvPr id="15" name="Gráfico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390525</xdr:colOff>
      <xdr:row>508</xdr:row>
      <xdr:rowOff>200024</xdr:rowOff>
    </xdr:from>
    <xdr:to>
      <xdr:col>23</xdr:col>
      <xdr:colOff>9525</xdr:colOff>
      <xdr:row>542</xdr:row>
      <xdr:rowOff>19049</xdr:rowOff>
    </xdr:to>
    <xdr:graphicFrame macro="">
      <xdr:nvGraphicFramePr>
        <xdr:cNvPr id="16" name="Gráfico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419100</xdr:colOff>
      <xdr:row>545</xdr:row>
      <xdr:rowOff>9524</xdr:rowOff>
    </xdr:from>
    <xdr:to>
      <xdr:col>23</xdr:col>
      <xdr:colOff>0</xdr:colOff>
      <xdr:row>578</xdr:row>
      <xdr:rowOff>9524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428624</xdr:colOff>
      <xdr:row>581</xdr:row>
      <xdr:rowOff>9524</xdr:rowOff>
    </xdr:from>
    <xdr:to>
      <xdr:col>22</xdr:col>
      <xdr:colOff>609599</xdr:colOff>
      <xdr:row>613</xdr:row>
      <xdr:rowOff>180974</xdr:rowOff>
    </xdr:to>
    <xdr:graphicFrame macro="">
      <xdr:nvGraphicFramePr>
        <xdr:cNvPr id="18" name="Gráfico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447675</xdr:colOff>
      <xdr:row>616</xdr:row>
      <xdr:rowOff>200024</xdr:rowOff>
    </xdr:from>
    <xdr:to>
      <xdr:col>22</xdr:col>
      <xdr:colOff>600075</xdr:colOff>
      <xdr:row>650</xdr:row>
      <xdr:rowOff>19049</xdr:rowOff>
    </xdr:to>
    <xdr:graphicFrame macro="">
      <xdr:nvGraphicFramePr>
        <xdr:cNvPr id="19" name="Gráfico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428625</xdr:colOff>
      <xdr:row>652</xdr:row>
      <xdr:rowOff>200024</xdr:rowOff>
    </xdr:from>
    <xdr:to>
      <xdr:col>22</xdr:col>
      <xdr:colOff>600075</xdr:colOff>
      <xdr:row>685</xdr:row>
      <xdr:rowOff>190499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12</xdr:col>
      <xdr:colOff>447675</xdr:colOff>
      <xdr:row>688</xdr:row>
      <xdr:rowOff>190500</xdr:rowOff>
    </xdr:from>
    <xdr:to>
      <xdr:col>23</xdr:col>
      <xdr:colOff>9525</xdr:colOff>
      <xdr:row>722</xdr:row>
      <xdr:rowOff>0</xdr:rowOff>
    </xdr:to>
    <xdr:graphicFrame macro="">
      <xdr:nvGraphicFramePr>
        <xdr:cNvPr id="22" name="Gráfico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5:L722"/>
  <sheetViews>
    <sheetView tabSelected="1" topLeftCell="A683" workbookViewId="0">
      <selection activeCell="L689" sqref="L689"/>
    </sheetView>
  </sheetViews>
  <sheetFormatPr baseColWidth="10" defaultColWidth="9.140625" defaultRowHeight="15" x14ac:dyDescent="0.25"/>
  <cols>
    <col min="10" max="12" width="25.7109375" customWidth="1"/>
  </cols>
  <sheetData>
    <row r="5" spans="10:12" ht="15.75" thickBot="1" x14ac:dyDescent="0.3"/>
    <row r="6" spans="10:12" x14ac:dyDescent="0.25">
      <c r="J6" s="10" t="s">
        <v>3</v>
      </c>
      <c r="K6" s="11"/>
      <c r="L6" s="12"/>
    </row>
    <row r="7" spans="10:12" ht="15.75" thickBot="1" x14ac:dyDescent="0.3">
      <c r="J7" s="4" t="s">
        <v>0</v>
      </c>
      <c r="K7" s="5" t="s">
        <v>1</v>
      </c>
      <c r="L7" s="6" t="s">
        <v>2</v>
      </c>
    </row>
    <row r="8" spans="10:12" x14ac:dyDescent="0.25">
      <c r="J8" s="7">
        <v>1000</v>
      </c>
      <c r="K8" s="8">
        <v>1.04</v>
      </c>
      <c r="L8" s="9">
        <f>1.32-0.28</f>
        <v>1.04</v>
      </c>
    </row>
    <row r="9" spans="10:12" x14ac:dyDescent="0.25">
      <c r="J9" s="2">
        <v>1100</v>
      </c>
      <c r="K9" s="1">
        <v>1.04</v>
      </c>
      <c r="L9" s="3">
        <f>1.32-0.28</f>
        <v>1.04</v>
      </c>
    </row>
    <row r="10" spans="10:12" x14ac:dyDescent="0.25">
      <c r="J10" s="2">
        <v>1200</v>
      </c>
      <c r="K10" s="1">
        <v>1.04</v>
      </c>
      <c r="L10" s="3">
        <f>1.28-0.28</f>
        <v>1</v>
      </c>
    </row>
    <row r="11" spans="10:12" x14ac:dyDescent="0.25">
      <c r="J11" s="2">
        <v>1300</v>
      </c>
      <c r="K11" s="1">
        <v>1.04</v>
      </c>
      <c r="L11" s="3">
        <v>1</v>
      </c>
    </row>
    <row r="12" spans="10:12" x14ac:dyDescent="0.25">
      <c r="J12" s="2">
        <v>1400</v>
      </c>
      <c r="K12" s="1">
        <v>1.04</v>
      </c>
      <c r="L12" s="3">
        <v>1</v>
      </c>
    </row>
    <row r="13" spans="10:12" x14ac:dyDescent="0.25">
      <c r="J13" s="2">
        <v>1500</v>
      </c>
      <c r="K13" s="1">
        <v>1.04</v>
      </c>
      <c r="L13" s="3">
        <v>1</v>
      </c>
    </row>
    <row r="14" spans="10:12" x14ac:dyDescent="0.25">
      <c r="J14" s="2">
        <v>1600</v>
      </c>
      <c r="K14" s="1">
        <v>1.04</v>
      </c>
      <c r="L14" s="3">
        <v>0.99</v>
      </c>
    </row>
    <row r="15" spans="10:12" x14ac:dyDescent="0.25">
      <c r="J15" s="2">
        <v>1700</v>
      </c>
      <c r="K15" s="1">
        <v>1.04</v>
      </c>
      <c r="L15" s="3">
        <v>0.99</v>
      </c>
    </row>
    <row r="16" spans="10:12" x14ac:dyDescent="0.25">
      <c r="J16" s="2">
        <v>1800</v>
      </c>
      <c r="K16" s="1">
        <v>1.04</v>
      </c>
      <c r="L16" s="3">
        <v>0.99</v>
      </c>
    </row>
    <row r="17" spans="10:12" x14ac:dyDescent="0.25">
      <c r="J17" s="2">
        <v>1900</v>
      </c>
      <c r="K17" s="1">
        <v>1.04</v>
      </c>
      <c r="L17" s="3">
        <v>0.99</v>
      </c>
    </row>
    <row r="18" spans="10:12" x14ac:dyDescent="0.25">
      <c r="J18" s="2">
        <v>2000</v>
      </c>
      <c r="K18" s="1">
        <v>1.04</v>
      </c>
      <c r="L18" s="3">
        <v>0.99</v>
      </c>
    </row>
    <row r="19" spans="10:12" x14ac:dyDescent="0.25">
      <c r="J19" s="2">
        <v>2100</v>
      </c>
      <c r="K19" s="1">
        <v>1.04</v>
      </c>
      <c r="L19" s="3">
        <v>0.99</v>
      </c>
    </row>
    <row r="20" spans="10:12" x14ac:dyDescent="0.25">
      <c r="J20" s="2">
        <v>2200</v>
      </c>
      <c r="K20" s="1">
        <v>1.04</v>
      </c>
      <c r="L20" s="3">
        <v>0.99</v>
      </c>
    </row>
    <row r="21" spans="10:12" x14ac:dyDescent="0.25">
      <c r="J21" s="2">
        <v>2300</v>
      </c>
      <c r="K21" s="1">
        <v>1.04</v>
      </c>
      <c r="L21" s="3">
        <v>0.98</v>
      </c>
    </row>
    <row r="22" spans="10:12" x14ac:dyDescent="0.25">
      <c r="J22" s="2">
        <v>2400</v>
      </c>
      <c r="K22" s="1">
        <v>1.04</v>
      </c>
      <c r="L22" s="3">
        <v>0.98</v>
      </c>
    </row>
    <row r="23" spans="10:12" x14ac:dyDescent="0.25">
      <c r="J23" s="2">
        <v>2500</v>
      </c>
      <c r="K23" s="1">
        <v>1.04</v>
      </c>
      <c r="L23" s="3">
        <v>0.98</v>
      </c>
    </row>
    <row r="24" spans="10:12" x14ac:dyDescent="0.25">
      <c r="J24" s="2">
        <v>2600</v>
      </c>
      <c r="K24" s="1">
        <v>1.04</v>
      </c>
      <c r="L24" s="3">
        <v>0.98</v>
      </c>
    </row>
    <row r="25" spans="10:12" x14ac:dyDescent="0.25">
      <c r="J25" s="2">
        <v>2700</v>
      </c>
      <c r="K25" s="1">
        <v>1.04</v>
      </c>
      <c r="L25" s="3">
        <v>0.98</v>
      </c>
    </row>
    <row r="26" spans="10:12" x14ac:dyDescent="0.25">
      <c r="J26" s="2">
        <v>2800</v>
      </c>
      <c r="K26" s="1">
        <v>1.04</v>
      </c>
      <c r="L26" s="3">
        <v>0.98</v>
      </c>
    </row>
    <row r="27" spans="10:12" x14ac:dyDescent="0.25">
      <c r="J27" s="2">
        <v>2900</v>
      </c>
      <c r="K27" s="1">
        <v>1.04</v>
      </c>
      <c r="L27" s="3">
        <v>0.98</v>
      </c>
    </row>
    <row r="28" spans="10:12" x14ac:dyDescent="0.25">
      <c r="J28" s="2">
        <v>3000</v>
      </c>
      <c r="K28" s="1">
        <v>1.04</v>
      </c>
      <c r="L28" s="3">
        <v>0.98</v>
      </c>
    </row>
    <row r="29" spans="10:12" x14ac:dyDescent="0.25">
      <c r="J29" s="2">
        <v>3100</v>
      </c>
      <c r="K29" s="1">
        <v>1.04</v>
      </c>
      <c r="L29" s="3">
        <v>0.98</v>
      </c>
    </row>
    <row r="30" spans="10:12" x14ac:dyDescent="0.25">
      <c r="J30" s="2">
        <v>3200</v>
      </c>
      <c r="K30" s="1">
        <v>1.04</v>
      </c>
      <c r="L30" s="3">
        <v>0.98</v>
      </c>
    </row>
    <row r="31" spans="10:12" x14ac:dyDescent="0.25">
      <c r="J31" s="2">
        <v>3300</v>
      </c>
      <c r="K31" s="1">
        <v>1.04</v>
      </c>
      <c r="L31" s="3">
        <v>0.98</v>
      </c>
    </row>
    <row r="32" spans="10:12" x14ac:dyDescent="0.25">
      <c r="J32" s="2">
        <v>3400</v>
      </c>
      <c r="K32" s="1">
        <v>1.04</v>
      </c>
      <c r="L32" s="3">
        <v>0.98</v>
      </c>
    </row>
    <row r="33" spans="10:12" x14ac:dyDescent="0.25">
      <c r="J33" s="2">
        <v>3500</v>
      </c>
      <c r="K33" s="1">
        <v>1.04</v>
      </c>
      <c r="L33" s="3">
        <v>0.96</v>
      </c>
    </row>
    <row r="34" spans="10:12" x14ac:dyDescent="0.25">
      <c r="J34" s="2">
        <v>3600</v>
      </c>
      <c r="K34" s="1">
        <v>1.04</v>
      </c>
      <c r="L34" s="3">
        <v>0.94</v>
      </c>
    </row>
    <row r="35" spans="10:12" x14ac:dyDescent="0.25">
      <c r="J35" s="2">
        <v>3700</v>
      </c>
      <c r="K35" s="1">
        <v>1.04</v>
      </c>
      <c r="L35" s="3">
        <v>0.74</v>
      </c>
    </row>
    <row r="36" spans="10:12" x14ac:dyDescent="0.25">
      <c r="J36" s="2">
        <v>3800</v>
      </c>
      <c r="K36" s="1">
        <v>1.04</v>
      </c>
      <c r="L36" s="3">
        <f>0.456</f>
        <v>0.45600000000000002</v>
      </c>
    </row>
    <row r="37" spans="10:12" x14ac:dyDescent="0.25">
      <c r="J37" s="2">
        <v>3900</v>
      </c>
      <c r="K37" s="1">
        <v>1.04</v>
      </c>
      <c r="L37" s="3">
        <f>0.32</f>
        <v>0.32</v>
      </c>
    </row>
    <row r="38" spans="10:12" ht="15.75" thickBot="1" x14ac:dyDescent="0.3">
      <c r="J38" s="4">
        <v>4000</v>
      </c>
      <c r="K38" s="5">
        <v>1.04</v>
      </c>
      <c r="L38" s="6">
        <f>0.1</f>
        <v>0.1</v>
      </c>
    </row>
    <row r="41" spans="10:12" ht="15.75" thickBot="1" x14ac:dyDescent="0.3"/>
    <row r="42" spans="10:12" x14ac:dyDescent="0.25">
      <c r="J42" s="10" t="s">
        <v>4</v>
      </c>
      <c r="K42" s="11"/>
      <c r="L42" s="12"/>
    </row>
    <row r="43" spans="10:12" ht="15.75" thickBot="1" x14ac:dyDescent="0.3">
      <c r="J43" s="4" t="s">
        <v>0</v>
      </c>
      <c r="K43" s="5" t="s">
        <v>1</v>
      </c>
      <c r="L43" s="6" t="s">
        <v>2</v>
      </c>
    </row>
    <row r="44" spans="10:12" x14ac:dyDescent="0.25">
      <c r="J44" s="7">
        <v>1000</v>
      </c>
      <c r="K44" s="8">
        <v>1.04</v>
      </c>
      <c r="L44" s="9">
        <f>1.32-0.28</f>
        <v>1.04</v>
      </c>
    </row>
    <row r="45" spans="10:12" x14ac:dyDescent="0.25">
      <c r="J45" s="2">
        <v>1100</v>
      </c>
      <c r="K45" s="1">
        <v>1.04</v>
      </c>
      <c r="L45" s="3">
        <f>1.32-0.28</f>
        <v>1.04</v>
      </c>
    </row>
    <row r="46" spans="10:12" x14ac:dyDescent="0.25">
      <c r="J46" s="2">
        <v>1200</v>
      </c>
      <c r="K46" s="1">
        <v>1.04</v>
      </c>
      <c r="L46" s="3">
        <v>1.04</v>
      </c>
    </row>
    <row r="47" spans="10:12" x14ac:dyDescent="0.25">
      <c r="J47" s="2">
        <v>1300</v>
      </c>
      <c r="K47" s="1">
        <v>1.04</v>
      </c>
      <c r="L47" s="3">
        <v>1</v>
      </c>
    </row>
    <row r="48" spans="10:12" x14ac:dyDescent="0.25">
      <c r="J48" s="2">
        <v>1400</v>
      </c>
      <c r="K48" s="1">
        <v>1.04</v>
      </c>
      <c r="L48" s="3">
        <v>1</v>
      </c>
    </row>
    <row r="49" spans="10:12" x14ac:dyDescent="0.25">
      <c r="J49" s="2">
        <v>1500</v>
      </c>
      <c r="K49" s="1">
        <v>1.04</v>
      </c>
      <c r="L49" s="3">
        <v>1</v>
      </c>
    </row>
    <row r="50" spans="10:12" x14ac:dyDescent="0.25">
      <c r="J50" s="2">
        <v>1600</v>
      </c>
      <c r="K50" s="1">
        <v>1.04</v>
      </c>
      <c r="L50" s="3">
        <v>1</v>
      </c>
    </row>
    <row r="51" spans="10:12" x14ac:dyDescent="0.25">
      <c r="J51" s="2">
        <v>1700</v>
      </c>
      <c r="K51" s="1">
        <v>1.04</v>
      </c>
      <c r="L51" s="3">
        <v>0.98</v>
      </c>
    </row>
    <row r="52" spans="10:12" x14ac:dyDescent="0.25">
      <c r="J52" s="2">
        <v>1800</v>
      </c>
      <c r="K52" s="1">
        <v>1.04</v>
      </c>
      <c r="L52" s="3">
        <v>0.98</v>
      </c>
    </row>
    <row r="53" spans="10:12" x14ac:dyDescent="0.25">
      <c r="J53" s="2">
        <v>1900</v>
      </c>
      <c r="K53" s="1">
        <v>1.04</v>
      </c>
      <c r="L53" s="3">
        <v>0.98</v>
      </c>
    </row>
    <row r="54" spans="10:12" x14ac:dyDescent="0.25">
      <c r="J54" s="2">
        <v>2000</v>
      </c>
      <c r="K54" s="1">
        <v>1.04</v>
      </c>
      <c r="L54" s="3">
        <v>0.98</v>
      </c>
    </row>
    <row r="55" spans="10:12" x14ac:dyDescent="0.25">
      <c r="J55" s="2">
        <v>2100</v>
      </c>
      <c r="K55" s="1">
        <v>1.04</v>
      </c>
      <c r="L55" s="3">
        <v>0.98</v>
      </c>
    </row>
    <row r="56" spans="10:12" x14ac:dyDescent="0.25">
      <c r="J56" s="2">
        <v>2200</v>
      </c>
      <c r="K56" s="1">
        <v>1.04</v>
      </c>
      <c r="L56" s="3">
        <v>0.98</v>
      </c>
    </row>
    <row r="57" spans="10:12" x14ac:dyDescent="0.25">
      <c r="J57" s="2">
        <v>2300</v>
      </c>
      <c r="K57" s="1">
        <v>1.04</v>
      </c>
      <c r="L57" s="3">
        <v>0.98</v>
      </c>
    </row>
    <row r="58" spans="10:12" x14ac:dyDescent="0.25">
      <c r="J58" s="2">
        <v>2400</v>
      </c>
      <c r="K58" s="1">
        <v>1.04</v>
      </c>
      <c r="L58" s="3">
        <v>0.97</v>
      </c>
    </row>
    <row r="59" spans="10:12" x14ac:dyDescent="0.25">
      <c r="J59" s="2">
        <v>2500</v>
      </c>
      <c r="K59" s="1">
        <v>1.04</v>
      </c>
      <c r="L59" s="3">
        <v>0.97</v>
      </c>
    </row>
    <row r="60" spans="10:12" x14ac:dyDescent="0.25">
      <c r="J60" s="2">
        <v>2600</v>
      </c>
      <c r="K60" s="1">
        <v>1.04</v>
      </c>
      <c r="L60" s="3">
        <v>0.97</v>
      </c>
    </row>
    <row r="61" spans="10:12" x14ac:dyDescent="0.25">
      <c r="J61" s="2">
        <v>2700</v>
      </c>
      <c r="K61" s="1">
        <v>1.04</v>
      </c>
      <c r="L61" s="3">
        <v>0.97</v>
      </c>
    </row>
    <row r="62" spans="10:12" x14ac:dyDescent="0.25">
      <c r="J62" s="2">
        <v>2800</v>
      </c>
      <c r="K62" s="1">
        <v>1.04</v>
      </c>
      <c r="L62" s="3">
        <v>0.97</v>
      </c>
    </row>
    <row r="63" spans="10:12" x14ac:dyDescent="0.25">
      <c r="J63" s="2">
        <v>2900</v>
      </c>
      <c r="K63" s="1">
        <v>1.04</v>
      </c>
      <c r="L63" s="3">
        <v>0.97</v>
      </c>
    </row>
    <row r="64" spans="10:12" x14ac:dyDescent="0.25">
      <c r="J64" s="2">
        <v>3000</v>
      </c>
      <c r="K64" s="1">
        <v>1.04</v>
      </c>
      <c r="L64" s="3">
        <v>0.97</v>
      </c>
    </row>
    <row r="65" spans="10:12" x14ac:dyDescent="0.25">
      <c r="J65" s="2">
        <v>3100</v>
      </c>
      <c r="K65" s="1">
        <v>1.04</v>
      </c>
      <c r="L65" s="3">
        <v>0.97</v>
      </c>
    </row>
    <row r="66" spans="10:12" x14ac:dyDescent="0.25">
      <c r="J66" s="2">
        <v>3200</v>
      </c>
      <c r="K66" s="1">
        <v>1.04</v>
      </c>
      <c r="L66" s="3">
        <v>0.97</v>
      </c>
    </row>
    <row r="67" spans="10:12" x14ac:dyDescent="0.25">
      <c r="J67" s="2">
        <v>3300</v>
      </c>
      <c r="K67" s="1">
        <v>1.04</v>
      </c>
      <c r="L67" s="3">
        <v>0.96</v>
      </c>
    </row>
    <row r="68" spans="10:12" x14ac:dyDescent="0.25">
      <c r="J68" s="2">
        <v>3400</v>
      </c>
      <c r="K68" s="1">
        <v>1.04</v>
      </c>
      <c r="L68" s="3">
        <v>0.96</v>
      </c>
    </row>
    <row r="69" spans="10:12" x14ac:dyDescent="0.25">
      <c r="J69" s="2">
        <v>3500</v>
      </c>
      <c r="K69" s="1">
        <v>1.04</v>
      </c>
      <c r="L69" s="3">
        <v>0.96</v>
      </c>
    </row>
    <row r="70" spans="10:12" x14ac:dyDescent="0.25">
      <c r="J70" s="2">
        <v>3600</v>
      </c>
      <c r="K70" s="1">
        <v>1.04</v>
      </c>
      <c r="L70" s="3">
        <v>0.94</v>
      </c>
    </row>
    <row r="71" spans="10:12" x14ac:dyDescent="0.25">
      <c r="J71" s="2">
        <v>3700</v>
      </c>
      <c r="K71" s="1">
        <v>1.04</v>
      </c>
      <c r="L71" s="3">
        <v>0.76</v>
      </c>
    </row>
    <row r="72" spans="10:12" x14ac:dyDescent="0.25">
      <c r="J72" s="2">
        <v>3800</v>
      </c>
      <c r="K72" s="1">
        <v>1.04</v>
      </c>
      <c r="L72" s="3">
        <v>0.57999999999999996</v>
      </c>
    </row>
    <row r="73" spans="10:12" x14ac:dyDescent="0.25">
      <c r="J73" s="2">
        <v>3900</v>
      </c>
      <c r="K73" s="1">
        <v>1.04</v>
      </c>
      <c r="L73" s="3">
        <v>0.38</v>
      </c>
    </row>
    <row r="74" spans="10:12" ht="15.75" thickBot="1" x14ac:dyDescent="0.3">
      <c r="J74" s="4">
        <v>4000</v>
      </c>
      <c r="K74" s="5">
        <v>1.04</v>
      </c>
      <c r="L74" s="6">
        <v>0.152</v>
      </c>
    </row>
    <row r="77" spans="10:12" ht="15.75" thickBot="1" x14ac:dyDescent="0.3"/>
    <row r="78" spans="10:12" x14ac:dyDescent="0.25">
      <c r="J78" s="10" t="s">
        <v>5</v>
      </c>
      <c r="K78" s="11"/>
      <c r="L78" s="12"/>
    </row>
    <row r="79" spans="10:12" ht="15.75" thickBot="1" x14ac:dyDescent="0.3">
      <c r="J79" s="4" t="s">
        <v>0</v>
      </c>
      <c r="K79" s="5" t="s">
        <v>1</v>
      </c>
      <c r="L79" s="6" t="s">
        <v>2</v>
      </c>
    </row>
    <row r="80" spans="10:12" x14ac:dyDescent="0.25">
      <c r="J80" s="7">
        <v>1000</v>
      </c>
      <c r="K80" s="8">
        <v>1.04</v>
      </c>
      <c r="L80" s="9">
        <v>1.04</v>
      </c>
    </row>
    <row r="81" spans="10:12" x14ac:dyDescent="0.25">
      <c r="J81" s="2">
        <v>1100</v>
      </c>
      <c r="K81" s="1">
        <v>1.04</v>
      </c>
      <c r="L81" s="3">
        <v>1.04</v>
      </c>
    </row>
    <row r="82" spans="10:12" x14ac:dyDescent="0.25">
      <c r="J82" s="2">
        <v>1200</v>
      </c>
      <c r="K82" s="1">
        <v>1.04</v>
      </c>
      <c r="L82" s="3">
        <v>1.04</v>
      </c>
    </row>
    <row r="83" spans="10:12" x14ac:dyDescent="0.25">
      <c r="J83" s="2">
        <v>1300</v>
      </c>
      <c r="K83" s="1">
        <v>1.04</v>
      </c>
      <c r="L83" s="3">
        <v>1.04</v>
      </c>
    </row>
    <row r="84" spans="10:12" x14ac:dyDescent="0.25">
      <c r="J84" s="2">
        <v>1400</v>
      </c>
      <c r="K84" s="1">
        <v>1.04</v>
      </c>
      <c r="L84" s="3">
        <v>1.04</v>
      </c>
    </row>
    <row r="85" spans="10:12" x14ac:dyDescent="0.25">
      <c r="J85" s="2">
        <v>1500</v>
      </c>
      <c r="K85" s="1">
        <v>1.04</v>
      </c>
      <c r="L85" s="3">
        <v>1.04</v>
      </c>
    </row>
    <row r="86" spans="10:12" x14ac:dyDescent="0.25">
      <c r="J86" s="2">
        <v>1600</v>
      </c>
      <c r="K86" s="1">
        <v>1.04</v>
      </c>
      <c r="L86" s="3">
        <v>1.02</v>
      </c>
    </row>
    <row r="87" spans="10:12" x14ac:dyDescent="0.25">
      <c r="J87" s="2">
        <v>1700</v>
      </c>
      <c r="K87" s="1">
        <v>1.04</v>
      </c>
      <c r="L87" s="3">
        <v>1.02</v>
      </c>
    </row>
    <row r="88" spans="10:12" x14ac:dyDescent="0.25">
      <c r="J88" s="2">
        <v>1800</v>
      </c>
      <c r="K88" s="1">
        <v>1.04</v>
      </c>
      <c r="L88" s="3">
        <v>1.02</v>
      </c>
    </row>
    <row r="89" spans="10:12" x14ac:dyDescent="0.25">
      <c r="J89" s="2">
        <v>1900</v>
      </c>
      <c r="K89" s="1">
        <v>1.04</v>
      </c>
      <c r="L89" s="3">
        <v>1.02</v>
      </c>
    </row>
    <row r="90" spans="10:12" x14ac:dyDescent="0.25">
      <c r="J90" s="2">
        <v>2000</v>
      </c>
      <c r="K90" s="1">
        <v>1.04</v>
      </c>
      <c r="L90" s="3">
        <v>1.01</v>
      </c>
    </row>
    <row r="91" spans="10:12" x14ac:dyDescent="0.25">
      <c r="J91" s="2">
        <v>2100</v>
      </c>
      <c r="K91" s="1">
        <v>1.04</v>
      </c>
      <c r="L91" s="3">
        <v>1.01</v>
      </c>
    </row>
    <row r="92" spans="10:12" x14ac:dyDescent="0.25">
      <c r="J92" s="2">
        <v>2200</v>
      </c>
      <c r="K92" s="1">
        <v>1.04</v>
      </c>
      <c r="L92" s="3">
        <v>1.01</v>
      </c>
    </row>
    <row r="93" spans="10:12" x14ac:dyDescent="0.25">
      <c r="J93" s="2">
        <v>2300</v>
      </c>
      <c r="K93" s="1">
        <v>1.04</v>
      </c>
      <c r="L93" s="3">
        <v>1.01</v>
      </c>
    </row>
    <row r="94" spans="10:12" x14ac:dyDescent="0.25">
      <c r="J94" s="2">
        <v>2400</v>
      </c>
      <c r="K94" s="1">
        <v>1.04</v>
      </c>
      <c r="L94" s="3">
        <v>1.01</v>
      </c>
    </row>
    <row r="95" spans="10:12" x14ac:dyDescent="0.25">
      <c r="J95" s="2">
        <v>2500</v>
      </c>
      <c r="K95" s="1">
        <v>1.04</v>
      </c>
      <c r="L95" s="3">
        <v>1.01</v>
      </c>
    </row>
    <row r="96" spans="10:12" x14ac:dyDescent="0.25">
      <c r="J96" s="2">
        <v>2600</v>
      </c>
      <c r="K96" s="1">
        <v>1.04</v>
      </c>
      <c r="L96" s="3">
        <v>1.01</v>
      </c>
    </row>
    <row r="97" spans="10:12" x14ac:dyDescent="0.25">
      <c r="J97" s="2">
        <v>2700</v>
      </c>
      <c r="K97" s="1">
        <v>1.04</v>
      </c>
      <c r="L97" s="3">
        <v>1</v>
      </c>
    </row>
    <row r="98" spans="10:12" x14ac:dyDescent="0.25">
      <c r="J98" s="2">
        <v>2800</v>
      </c>
      <c r="K98" s="1">
        <v>1.04</v>
      </c>
      <c r="L98" s="3">
        <v>1</v>
      </c>
    </row>
    <row r="99" spans="10:12" x14ac:dyDescent="0.25">
      <c r="J99" s="2">
        <v>2900</v>
      </c>
      <c r="K99" s="1">
        <v>1.04</v>
      </c>
      <c r="L99" s="3">
        <v>1</v>
      </c>
    </row>
    <row r="100" spans="10:12" x14ac:dyDescent="0.25">
      <c r="J100" s="2">
        <v>3000</v>
      </c>
      <c r="K100" s="1">
        <v>1.04</v>
      </c>
      <c r="L100" s="3">
        <v>1</v>
      </c>
    </row>
    <row r="101" spans="10:12" x14ac:dyDescent="0.25">
      <c r="J101" s="2">
        <v>3100</v>
      </c>
      <c r="K101" s="1">
        <v>1.04</v>
      </c>
      <c r="L101" s="3">
        <v>1</v>
      </c>
    </row>
    <row r="102" spans="10:12" x14ac:dyDescent="0.25">
      <c r="J102" s="2">
        <v>3200</v>
      </c>
      <c r="K102" s="1">
        <v>1.04</v>
      </c>
      <c r="L102" s="3">
        <v>1</v>
      </c>
    </row>
    <row r="103" spans="10:12" x14ac:dyDescent="0.25">
      <c r="J103" s="2">
        <v>3300</v>
      </c>
      <c r="K103" s="1">
        <v>1.04</v>
      </c>
      <c r="L103" s="3">
        <v>1</v>
      </c>
    </row>
    <row r="104" spans="10:12" x14ac:dyDescent="0.25">
      <c r="J104" s="2">
        <v>3400</v>
      </c>
      <c r="K104" s="1">
        <v>1.04</v>
      </c>
      <c r="L104" s="3">
        <v>1</v>
      </c>
    </row>
    <row r="105" spans="10:12" x14ac:dyDescent="0.25">
      <c r="J105" s="2">
        <v>3500</v>
      </c>
      <c r="K105" s="1">
        <v>1.04</v>
      </c>
      <c r="L105" s="3">
        <v>1</v>
      </c>
    </row>
    <row r="106" spans="10:12" x14ac:dyDescent="0.25">
      <c r="J106" s="2">
        <v>3600</v>
      </c>
      <c r="K106" s="1">
        <v>1.04</v>
      </c>
      <c r="L106" s="3">
        <v>0.94</v>
      </c>
    </row>
    <row r="107" spans="10:12" x14ac:dyDescent="0.25">
      <c r="J107" s="2">
        <v>3700</v>
      </c>
      <c r="K107" s="1">
        <v>1.04</v>
      </c>
      <c r="L107" s="3">
        <v>0.57999999999999996</v>
      </c>
    </row>
    <row r="108" spans="10:12" x14ac:dyDescent="0.25">
      <c r="J108" s="2">
        <v>3800</v>
      </c>
      <c r="K108" s="1">
        <v>1.04</v>
      </c>
      <c r="L108" s="3">
        <v>0.32</v>
      </c>
    </row>
    <row r="109" spans="10:12" x14ac:dyDescent="0.25">
      <c r="J109" s="2">
        <v>3900</v>
      </c>
      <c r="K109" s="1">
        <v>1.04</v>
      </c>
      <c r="L109" s="3">
        <v>0.12</v>
      </c>
    </row>
    <row r="110" spans="10:12" ht="15.75" thickBot="1" x14ac:dyDescent="0.3">
      <c r="J110" s="4">
        <v>4000</v>
      </c>
      <c r="K110" s="5">
        <v>1.04</v>
      </c>
      <c r="L110" s="6">
        <v>0.05</v>
      </c>
    </row>
    <row r="113" spans="10:12" ht="15.75" thickBot="1" x14ac:dyDescent="0.3"/>
    <row r="114" spans="10:12" x14ac:dyDescent="0.25">
      <c r="J114" s="10" t="s">
        <v>6</v>
      </c>
      <c r="K114" s="11"/>
      <c r="L114" s="12"/>
    </row>
    <row r="115" spans="10:12" ht="15.75" thickBot="1" x14ac:dyDescent="0.3">
      <c r="J115" s="4" t="s">
        <v>0</v>
      </c>
      <c r="K115" s="5" t="s">
        <v>1</v>
      </c>
      <c r="L115" s="6" t="s">
        <v>2</v>
      </c>
    </row>
    <row r="116" spans="10:12" x14ac:dyDescent="0.25">
      <c r="J116" s="7">
        <v>1000</v>
      </c>
      <c r="K116" s="8">
        <v>1.04</v>
      </c>
      <c r="L116" s="9">
        <v>1.04</v>
      </c>
    </row>
    <row r="117" spans="10:12" x14ac:dyDescent="0.25">
      <c r="J117" s="2">
        <v>1100</v>
      </c>
      <c r="K117" s="1">
        <v>1.04</v>
      </c>
      <c r="L117" s="9">
        <v>1.04</v>
      </c>
    </row>
    <row r="118" spans="10:12" x14ac:dyDescent="0.25">
      <c r="J118" s="2">
        <v>1200</v>
      </c>
      <c r="K118" s="1">
        <v>1.04</v>
      </c>
      <c r="L118" s="9">
        <v>1.04</v>
      </c>
    </row>
    <row r="119" spans="10:12" x14ac:dyDescent="0.25">
      <c r="J119" s="2">
        <v>1300</v>
      </c>
      <c r="K119" s="1">
        <v>1.04</v>
      </c>
      <c r="L119" s="9">
        <v>1.04</v>
      </c>
    </row>
    <row r="120" spans="10:12" x14ac:dyDescent="0.25">
      <c r="J120" s="2">
        <v>1400</v>
      </c>
      <c r="K120" s="1">
        <v>1.04</v>
      </c>
      <c r="L120" s="9">
        <v>1.04</v>
      </c>
    </row>
    <row r="121" spans="10:12" x14ac:dyDescent="0.25">
      <c r="J121" s="2">
        <v>1500</v>
      </c>
      <c r="K121" s="1">
        <v>1.04</v>
      </c>
      <c r="L121" s="9">
        <v>1.04</v>
      </c>
    </row>
    <row r="122" spans="10:12" x14ac:dyDescent="0.25">
      <c r="J122" s="2">
        <v>1600</v>
      </c>
      <c r="K122" s="1">
        <v>1.04</v>
      </c>
      <c r="L122" s="9">
        <v>1.04</v>
      </c>
    </row>
    <row r="123" spans="10:12" x14ac:dyDescent="0.25">
      <c r="J123" s="2">
        <v>1700</v>
      </c>
      <c r="K123" s="1">
        <v>1.04</v>
      </c>
      <c r="L123" s="3">
        <v>1.02</v>
      </c>
    </row>
    <row r="124" spans="10:12" x14ac:dyDescent="0.25">
      <c r="J124" s="2">
        <v>1800</v>
      </c>
      <c r="K124" s="1">
        <v>1.04</v>
      </c>
      <c r="L124" s="3">
        <v>1.02</v>
      </c>
    </row>
    <row r="125" spans="10:12" x14ac:dyDescent="0.25">
      <c r="J125" s="2">
        <v>1900</v>
      </c>
      <c r="K125" s="1">
        <v>1.04</v>
      </c>
      <c r="L125" s="3">
        <v>1.02</v>
      </c>
    </row>
    <row r="126" spans="10:12" x14ac:dyDescent="0.25">
      <c r="J126" s="2">
        <v>2000</v>
      </c>
      <c r="K126" s="1">
        <v>1.04</v>
      </c>
      <c r="L126" s="3">
        <v>1.02</v>
      </c>
    </row>
    <row r="127" spans="10:12" x14ac:dyDescent="0.25">
      <c r="J127" s="2">
        <v>2100</v>
      </c>
      <c r="K127" s="1">
        <v>1.04</v>
      </c>
      <c r="L127" s="3">
        <v>1.02</v>
      </c>
    </row>
    <row r="128" spans="10:12" x14ac:dyDescent="0.25">
      <c r="J128" s="2">
        <v>2200</v>
      </c>
      <c r="K128" s="1">
        <v>1.04</v>
      </c>
      <c r="L128" s="3">
        <v>1.02</v>
      </c>
    </row>
    <row r="129" spans="10:12" x14ac:dyDescent="0.25">
      <c r="J129" s="2">
        <v>2300</v>
      </c>
      <c r="K129" s="1">
        <v>1.04</v>
      </c>
      <c r="L129" s="3">
        <v>1.02</v>
      </c>
    </row>
    <row r="130" spans="10:12" x14ac:dyDescent="0.25">
      <c r="J130" s="2">
        <v>2400</v>
      </c>
      <c r="K130" s="1">
        <v>1.04</v>
      </c>
      <c r="L130" s="3">
        <v>1.02</v>
      </c>
    </row>
    <row r="131" spans="10:12" x14ac:dyDescent="0.25">
      <c r="J131" s="2">
        <v>2500</v>
      </c>
      <c r="K131" s="1">
        <v>1.04</v>
      </c>
      <c r="L131" s="3">
        <v>1.02</v>
      </c>
    </row>
    <row r="132" spans="10:12" x14ac:dyDescent="0.25">
      <c r="J132" s="2">
        <v>2600</v>
      </c>
      <c r="K132" s="1">
        <v>1.04</v>
      </c>
      <c r="L132" s="3">
        <v>1</v>
      </c>
    </row>
    <row r="133" spans="10:12" x14ac:dyDescent="0.25">
      <c r="J133" s="2">
        <v>2700</v>
      </c>
      <c r="K133" s="1">
        <v>1.04</v>
      </c>
      <c r="L133" s="3">
        <v>1</v>
      </c>
    </row>
    <row r="134" spans="10:12" x14ac:dyDescent="0.25">
      <c r="J134" s="2">
        <v>2800</v>
      </c>
      <c r="K134" s="1">
        <v>1.04</v>
      </c>
      <c r="L134" s="3">
        <v>1</v>
      </c>
    </row>
    <row r="135" spans="10:12" x14ac:dyDescent="0.25">
      <c r="J135" s="2">
        <v>2900</v>
      </c>
      <c r="K135" s="1">
        <v>1.04</v>
      </c>
      <c r="L135" s="3">
        <v>1</v>
      </c>
    </row>
    <row r="136" spans="10:12" x14ac:dyDescent="0.25">
      <c r="J136" s="2">
        <v>3000</v>
      </c>
      <c r="K136" s="1">
        <v>1.04</v>
      </c>
      <c r="L136" s="3">
        <v>1</v>
      </c>
    </row>
    <row r="137" spans="10:12" x14ac:dyDescent="0.25">
      <c r="J137" s="2">
        <v>3100</v>
      </c>
      <c r="K137" s="1">
        <v>1.04</v>
      </c>
      <c r="L137" s="3">
        <v>1</v>
      </c>
    </row>
    <row r="138" spans="10:12" x14ac:dyDescent="0.25">
      <c r="J138" s="2">
        <v>3200</v>
      </c>
      <c r="K138" s="1">
        <v>1.04</v>
      </c>
      <c r="L138" s="3">
        <v>1</v>
      </c>
    </row>
    <row r="139" spans="10:12" x14ac:dyDescent="0.25">
      <c r="J139" s="2">
        <v>3300</v>
      </c>
      <c r="K139" s="1">
        <v>1.04</v>
      </c>
      <c r="L139" s="3">
        <v>1</v>
      </c>
    </row>
    <row r="140" spans="10:12" x14ac:dyDescent="0.25">
      <c r="J140" s="2">
        <v>3400</v>
      </c>
      <c r="K140" s="1">
        <v>1.04</v>
      </c>
      <c r="L140" s="3">
        <v>1</v>
      </c>
    </row>
    <row r="141" spans="10:12" x14ac:dyDescent="0.25">
      <c r="J141" s="2">
        <v>3500</v>
      </c>
      <c r="K141" s="1">
        <v>1.04</v>
      </c>
      <c r="L141" s="3">
        <v>0.92</v>
      </c>
    </row>
    <row r="142" spans="10:12" x14ac:dyDescent="0.25">
      <c r="J142" s="2">
        <v>3600</v>
      </c>
      <c r="K142" s="1">
        <v>1.04</v>
      </c>
      <c r="L142" s="3">
        <v>0.8</v>
      </c>
    </row>
    <row r="143" spans="10:12" x14ac:dyDescent="0.25">
      <c r="J143" s="2">
        <v>3700</v>
      </c>
      <c r="K143" s="1">
        <v>1.04</v>
      </c>
      <c r="L143" s="3">
        <v>0.7</v>
      </c>
    </row>
    <row r="144" spans="10:12" x14ac:dyDescent="0.25">
      <c r="J144" s="2">
        <v>3800</v>
      </c>
      <c r="K144" s="1">
        <v>1.04</v>
      </c>
      <c r="L144" s="3">
        <v>0.5</v>
      </c>
    </row>
    <row r="145" spans="10:12" x14ac:dyDescent="0.25">
      <c r="J145" s="2">
        <v>3900</v>
      </c>
      <c r="K145" s="1">
        <v>1.04</v>
      </c>
      <c r="L145" s="3">
        <v>0.38</v>
      </c>
    </row>
    <row r="146" spans="10:12" ht="15.75" thickBot="1" x14ac:dyDescent="0.3">
      <c r="J146" s="4">
        <v>4000</v>
      </c>
      <c r="K146" s="5">
        <v>1.04</v>
      </c>
      <c r="L146" s="6">
        <v>0.22</v>
      </c>
    </row>
    <row r="149" spans="10:12" ht="15.75" thickBot="1" x14ac:dyDescent="0.3"/>
    <row r="150" spans="10:12" x14ac:dyDescent="0.25">
      <c r="J150" s="10" t="s">
        <v>7</v>
      </c>
      <c r="K150" s="11"/>
      <c r="L150" s="12"/>
    </row>
    <row r="151" spans="10:12" ht="15.75" thickBot="1" x14ac:dyDescent="0.3">
      <c r="J151" s="4" t="s">
        <v>0</v>
      </c>
      <c r="K151" s="5" t="s">
        <v>1</v>
      </c>
      <c r="L151" s="6" t="s">
        <v>2</v>
      </c>
    </row>
    <row r="152" spans="10:12" x14ac:dyDescent="0.25">
      <c r="J152" s="7">
        <v>1000</v>
      </c>
      <c r="K152" s="8">
        <v>1.04</v>
      </c>
      <c r="L152" s="9">
        <v>1.04</v>
      </c>
    </row>
    <row r="153" spans="10:12" x14ac:dyDescent="0.25">
      <c r="J153" s="2">
        <v>1100</v>
      </c>
      <c r="K153" s="1">
        <v>1.04</v>
      </c>
      <c r="L153" s="9">
        <v>1.04</v>
      </c>
    </row>
    <row r="154" spans="10:12" x14ac:dyDescent="0.25">
      <c r="J154" s="2">
        <v>1200</v>
      </c>
      <c r="K154" s="1">
        <v>1.04</v>
      </c>
      <c r="L154" s="9">
        <v>1.04</v>
      </c>
    </row>
    <row r="155" spans="10:12" x14ac:dyDescent="0.25">
      <c r="J155" s="2">
        <v>1300</v>
      </c>
      <c r="K155" s="1">
        <v>1.04</v>
      </c>
      <c r="L155" s="9">
        <v>1.04</v>
      </c>
    </row>
    <row r="156" spans="10:12" x14ac:dyDescent="0.25">
      <c r="J156" s="2">
        <v>1400</v>
      </c>
      <c r="K156" s="1">
        <v>1.04</v>
      </c>
      <c r="L156" s="9">
        <v>1.04</v>
      </c>
    </row>
    <row r="157" spans="10:12" x14ac:dyDescent="0.25">
      <c r="J157" s="2">
        <v>1500</v>
      </c>
      <c r="K157" s="1">
        <v>1.04</v>
      </c>
      <c r="L157" s="9">
        <v>1.04</v>
      </c>
    </row>
    <row r="158" spans="10:12" x14ac:dyDescent="0.25">
      <c r="J158" s="2">
        <v>1600</v>
      </c>
      <c r="K158" s="1">
        <v>1.04</v>
      </c>
      <c r="L158" s="9">
        <v>1.04</v>
      </c>
    </row>
    <row r="159" spans="10:12" x14ac:dyDescent="0.25">
      <c r="J159" s="2">
        <v>1700</v>
      </c>
      <c r="K159" s="1">
        <v>1.04</v>
      </c>
      <c r="L159" s="9">
        <v>1.04</v>
      </c>
    </row>
    <row r="160" spans="10:12" x14ac:dyDescent="0.25">
      <c r="J160" s="2">
        <v>1800</v>
      </c>
      <c r="K160" s="1">
        <v>1.04</v>
      </c>
      <c r="L160" s="9">
        <v>1.04</v>
      </c>
    </row>
    <row r="161" spans="10:12" x14ac:dyDescent="0.25">
      <c r="J161" s="2">
        <v>1900</v>
      </c>
      <c r="K161" s="1">
        <v>1.04</v>
      </c>
      <c r="L161" s="9">
        <v>1.04</v>
      </c>
    </row>
    <row r="162" spans="10:12" x14ac:dyDescent="0.25">
      <c r="J162" s="2">
        <v>2000</v>
      </c>
      <c r="K162" s="1">
        <v>1.04</v>
      </c>
      <c r="L162" s="9">
        <v>1.04</v>
      </c>
    </row>
    <row r="163" spans="10:12" x14ac:dyDescent="0.25">
      <c r="J163" s="2">
        <v>2100</v>
      </c>
      <c r="K163" s="1">
        <v>1.04</v>
      </c>
      <c r="L163" s="9">
        <v>1.04</v>
      </c>
    </row>
    <row r="164" spans="10:12" x14ac:dyDescent="0.25">
      <c r="J164" s="2">
        <v>2200</v>
      </c>
      <c r="K164" s="1">
        <v>1.04</v>
      </c>
      <c r="L164" s="9">
        <v>1.04</v>
      </c>
    </row>
    <row r="165" spans="10:12" x14ac:dyDescent="0.25">
      <c r="J165" s="2">
        <v>2300</v>
      </c>
      <c r="K165" s="1">
        <v>1.04</v>
      </c>
      <c r="L165" s="9">
        <v>1.04</v>
      </c>
    </row>
    <row r="166" spans="10:12" x14ac:dyDescent="0.25">
      <c r="J166" s="2">
        <v>2400</v>
      </c>
      <c r="K166" s="1">
        <v>1.04</v>
      </c>
      <c r="L166" s="9">
        <v>1.04</v>
      </c>
    </row>
    <row r="167" spans="10:12" x14ac:dyDescent="0.25">
      <c r="J167" s="2">
        <v>2500</v>
      </c>
      <c r="K167" s="1">
        <v>1.04</v>
      </c>
      <c r="L167" s="3">
        <v>1.02</v>
      </c>
    </row>
    <row r="168" spans="10:12" x14ac:dyDescent="0.25">
      <c r="J168" s="2">
        <v>2600</v>
      </c>
      <c r="K168" s="1">
        <v>1.04</v>
      </c>
      <c r="L168" s="3">
        <v>1.02</v>
      </c>
    </row>
    <row r="169" spans="10:12" x14ac:dyDescent="0.25">
      <c r="J169" s="2">
        <v>2700</v>
      </c>
      <c r="K169" s="1">
        <v>1.04</v>
      </c>
      <c r="L169" s="3">
        <v>1.02</v>
      </c>
    </row>
    <row r="170" spans="10:12" x14ac:dyDescent="0.25">
      <c r="J170" s="2">
        <v>2800</v>
      </c>
      <c r="K170" s="1">
        <v>1.04</v>
      </c>
      <c r="L170" s="3">
        <v>1.02</v>
      </c>
    </row>
    <row r="171" spans="10:12" x14ac:dyDescent="0.25">
      <c r="J171" s="2">
        <v>2900</v>
      </c>
      <c r="K171" s="1">
        <v>1.04</v>
      </c>
      <c r="L171" s="3">
        <v>1.02</v>
      </c>
    </row>
    <row r="172" spans="10:12" x14ac:dyDescent="0.25">
      <c r="J172" s="2">
        <v>3000</v>
      </c>
      <c r="K172" s="1">
        <v>1.04</v>
      </c>
      <c r="L172" s="3">
        <v>1.02</v>
      </c>
    </row>
    <row r="173" spans="10:12" x14ac:dyDescent="0.25">
      <c r="J173" s="2">
        <v>3100</v>
      </c>
      <c r="K173" s="1">
        <v>1.04</v>
      </c>
      <c r="L173" s="3">
        <v>1.02</v>
      </c>
    </row>
    <row r="174" spans="10:12" x14ac:dyDescent="0.25">
      <c r="J174" s="2">
        <v>3200</v>
      </c>
      <c r="K174" s="1">
        <v>1.04</v>
      </c>
      <c r="L174" s="3">
        <v>1.02</v>
      </c>
    </row>
    <row r="175" spans="10:12" x14ac:dyDescent="0.25">
      <c r="J175" s="2">
        <v>3300</v>
      </c>
      <c r="K175" s="1">
        <v>1.04</v>
      </c>
      <c r="L175" s="3">
        <v>1.02</v>
      </c>
    </row>
    <row r="176" spans="10:12" x14ac:dyDescent="0.25">
      <c r="J176" s="2">
        <v>3400</v>
      </c>
      <c r="K176" s="1">
        <v>1.04</v>
      </c>
      <c r="L176" s="3">
        <v>0.98</v>
      </c>
    </row>
    <row r="177" spans="10:12" x14ac:dyDescent="0.25">
      <c r="J177" s="2">
        <v>3500</v>
      </c>
      <c r="K177" s="1">
        <v>1.04</v>
      </c>
      <c r="L177" s="3">
        <v>0.96</v>
      </c>
    </row>
    <row r="178" spans="10:12" x14ac:dyDescent="0.25">
      <c r="J178" s="2">
        <v>3600</v>
      </c>
      <c r="K178" s="1">
        <v>1.04</v>
      </c>
      <c r="L178" s="3">
        <v>0.78</v>
      </c>
    </row>
    <row r="179" spans="10:12" x14ac:dyDescent="0.25">
      <c r="J179" s="2">
        <v>3700</v>
      </c>
      <c r="K179" s="1">
        <v>1.04</v>
      </c>
      <c r="L179" s="3">
        <v>0.68</v>
      </c>
    </row>
    <row r="180" spans="10:12" x14ac:dyDescent="0.25">
      <c r="J180" s="2">
        <v>3800</v>
      </c>
      <c r="K180" s="1">
        <v>1.04</v>
      </c>
      <c r="L180" s="3">
        <v>0.48</v>
      </c>
    </row>
    <row r="181" spans="10:12" x14ac:dyDescent="0.25">
      <c r="J181" s="2">
        <v>3900</v>
      </c>
      <c r="K181" s="1">
        <v>1.04</v>
      </c>
      <c r="L181" s="3">
        <v>0.36</v>
      </c>
    </row>
    <row r="182" spans="10:12" ht="15.75" thickBot="1" x14ac:dyDescent="0.3">
      <c r="J182" s="4">
        <v>4000</v>
      </c>
      <c r="K182" s="5">
        <v>1.04</v>
      </c>
      <c r="L182" s="6">
        <v>0.26</v>
      </c>
    </row>
    <row r="185" spans="10:12" ht="15.75" thickBot="1" x14ac:dyDescent="0.3"/>
    <row r="186" spans="10:12" x14ac:dyDescent="0.25">
      <c r="J186" s="10" t="s">
        <v>8</v>
      </c>
      <c r="K186" s="11"/>
      <c r="L186" s="12"/>
    </row>
    <row r="187" spans="10:12" ht="15.75" thickBot="1" x14ac:dyDescent="0.3">
      <c r="J187" s="4" t="s">
        <v>0</v>
      </c>
      <c r="K187" s="5" t="s">
        <v>1</v>
      </c>
      <c r="L187" s="6" t="s">
        <v>2</v>
      </c>
    </row>
    <row r="188" spans="10:12" x14ac:dyDescent="0.25">
      <c r="J188" s="8">
        <v>100</v>
      </c>
      <c r="K188" s="8">
        <v>1.04</v>
      </c>
      <c r="L188" s="8">
        <v>0</v>
      </c>
    </row>
    <row r="189" spans="10:12" x14ac:dyDescent="0.25">
      <c r="J189" s="1">
        <v>200</v>
      </c>
      <c r="K189" s="1">
        <v>1.04</v>
      </c>
      <c r="L189" s="1">
        <v>0.02</v>
      </c>
    </row>
    <row r="190" spans="10:12" x14ac:dyDescent="0.25">
      <c r="J190" s="1">
        <v>300</v>
      </c>
      <c r="K190" s="1">
        <v>1.04</v>
      </c>
      <c r="L190" s="1">
        <v>0.04</v>
      </c>
    </row>
    <row r="191" spans="10:12" x14ac:dyDescent="0.25">
      <c r="J191" s="1">
        <v>400</v>
      </c>
      <c r="K191" s="1">
        <v>1.04</v>
      </c>
      <c r="L191" s="1">
        <v>0.65</v>
      </c>
    </row>
    <row r="192" spans="10:12" x14ac:dyDescent="0.25">
      <c r="J192" s="1">
        <v>500</v>
      </c>
      <c r="K192" s="1">
        <v>1.04</v>
      </c>
      <c r="L192" s="1">
        <v>0.92</v>
      </c>
    </row>
    <row r="193" spans="10:12" x14ac:dyDescent="0.25">
      <c r="J193" s="1">
        <v>600</v>
      </c>
      <c r="K193" s="1">
        <v>1.04</v>
      </c>
      <c r="L193" s="1">
        <v>0.92</v>
      </c>
    </row>
    <row r="194" spans="10:12" x14ac:dyDescent="0.25">
      <c r="J194" s="1">
        <v>700</v>
      </c>
      <c r="K194" s="1">
        <v>1.04</v>
      </c>
      <c r="L194" s="1">
        <v>0.92</v>
      </c>
    </row>
    <row r="195" spans="10:12" x14ac:dyDescent="0.25">
      <c r="J195" s="1">
        <v>800</v>
      </c>
      <c r="K195" s="1">
        <v>1.04</v>
      </c>
      <c r="L195" s="1">
        <v>0.92</v>
      </c>
    </row>
    <row r="196" spans="10:12" x14ac:dyDescent="0.25">
      <c r="J196" s="1">
        <v>900</v>
      </c>
      <c r="K196" s="1">
        <v>1.04</v>
      </c>
      <c r="L196" s="1">
        <v>0.92</v>
      </c>
    </row>
    <row r="197" spans="10:12" x14ac:dyDescent="0.25">
      <c r="J197" s="1">
        <v>1000</v>
      </c>
      <c r="K197" s="1">
        <v>1.04</v>
      </c>
      <c r="L197" s="1">
        <v>0.92</v>
      </c>
    </row>
    <row r="198" spans="10:12" x14ac:dyDescent="0.25">
      <c r="J198" s="1">
        <v>1100</v>
      </c>
      <c r="K198" s="1">
        <v>1.04</v>
      </c>
      <c r="L198" s="1">
        <v>0.92</v>
      </c>
    </row>
    <row r="199" spans="10:12" x14ac:dyDescent="0.25">
      <c r="J199" s="1">
        <v>1200</v>
      </c>
      <c r="K199" s="1">
        <v>1.04</v>
      </c>
      <c r="L199" s="1">
        <v>0.92</v>
      </c>
    </row>
    <row r="200" spans="10:12" x14ac:dyDescent="0.25">
      <c r="J200" s="1">
        <v>1300</v>
      </c>
      <c r="K200" s="1">
        <v>1.04</v>
      </c>
      <c r="L200" s="1">
        <v>0.92</v>
      </c>
    </row>
    <row r="201" spans="10:12" x14ac:dyDescent="0.25">
      <c r="J201" s="1">
        <v>1400</v>
      </c>
      <c r="K201" s="1">
        <v>1.04</v>
      </c>
      <c r="L201" s="1">
        <v>0.92</v>
      </c>
    </row>
    <row r="202" spans="10:12" x14ac:dyDescent="0.25">
      <c r="J202" s="1">
        <v>1500</v>
      </c>
      <c r="K202" s="1">
        <v>1.04</v>
      </c>
      <c r="L202" s="1">
        <v>0.92</v>
      </c>
    </row>
    <row r="203" spans="10:12" x14ac:dyDescent="0.25">
      <c r="J203" s="1">
        <v>1600</v>
      </c>
      <c r="K203" s="1">
        <v>1.04</v>
      </c>
      <c r="L203" s="1">
        <v>0.92</v>
      </c>
    </row>
    <row r="204" spans="10:12" x14ac:dyDescent="0.25">
      <c r="J204" s="1">
        <v>1700</v>
      </c>
      <c r="K204" s="1">
        <v>1.04</v>
      </c>
      <c r="L204" s="1">
        <v>0.92</v>
      </c>
    </row>
    <row r="205" spans="10:12" x14ac:dyDescent="0.25">
      <c r="J205" s="1">
        <v>1800</v>
      </c>
      <c r="K205" s="1">
        <v>1.04</v>
      </c>
      <c r="L205" s="1">
        <v>0.92</v>
      </c>
    </row>
    <row r="206" spans="10:12" x14ac:dyDescent="0.25">
      <c r="J206" s="1">
        <v>1900</v>
      </c>
      <c r="K206" s="1">
        <v>1.04</v>
      </c>
      <c r="L206" s="1">
        <v>0.92</v>
      </c>
    </row>
    <row r="207" spans="10:12" x14ac:dyDescent="0.25">
      <c r="J207" s="1">
        <v>2000</v>
      </c>
      <c r="K207" s="1">
        <v>1.04</v>
      </c>
      <c r="L207" s="1">
        <v>0.92</v>
      </c>
    </row>
    <row r="208" spans="10:12" x14ac:dyDescent="0.25">
      <c r="J208" s="1">
        <v>2100</v>
      </c>
      <c r="K208" s="1">
        <v>1.04</v>
      </c>
      <c r="L208" s="1">
        <v>0.92</v>
      </c>
    </row>
    <row r="209" spans="10:12" x14ac:dyDescent="0.25">
      <c r="J209" s="1">
        <v>2200</v>
      </c>
      <c r="K209" s="1">
        <v>1.04</v>
      </c>
      <c r="L209" s="1">
        <v>0.92</v>
      </c>
    </row>
    <row r="210" spans="10:12" x14ac:dyDescent="0.25">
      <c r="J210" s="1">
        <v>2300</v>
      </c>
      <c r="K210" s="1">
        <v>1.04</v>
      </c>
      <c r="L210" s="1">
        <v>0.92</v>
      </c>
    </row>
    <row r="211" spans="10:12" x14ac:dyDescent="0.25">
      <c r="J211" s="1">
        <v>2400</v>
      </c>
      <c r="K211" s="1">
        <v>1.04</v>
      </c>
      <c r="L211" s="1">
        <v>0.92</v>
      </c>
    </row>
    <row r="212" spans="10:12" x14ac:dyDescent="0.25">
      <c r="J212" s="1">
        <v>2500</v>
      </c>
      <c r="K212" s="1">
        <v>1.04</v>
      </c>
      <c r="L212" s="1">
        <v>1</v>
      </c>
    </row>
    <row r="213" spans="10:12" x14ac:dyDescent="0.25">
      <c r="J213" s="1">
        <v>2600</v>
      </c>
      <c r="K213" s="1">
        <v>1.04</v>
      </c>
      <c r="L213" s="1">
        <v>1</v>
      </c>
    </row>
    <row r="214" spans="10:12" x14ac:dyDescent="0.25">
      <c r="J214" s="1">
        <v>2700</v>
      </c>
      <c r="K214" s="1">
        <v>1.04</v>
      </c>
      <c r="L214" s="1">
        <v>1</v>
      </c>
    </row>
    <row r="215" spans="10:12" x14ac:dyDescent="0.25">
      <c r="J215" s="1">
        <v>2800</v>
      </c>
      <c r="K215" s="1">
        <v>1.04</v>
      </c>
      <c r="L215" s="1">
        <v>1</v>
      </c>
    </row>
    <row r="216" spans="10:12" x14ac:dyDescent="0.25">
      <c r="J216" s="1">
        <v>2900</v>
      </c>
      <c r="K216" s="1">
        <v>1.04</v>
      </c>
      <c r="L216" s="1">
        <v>1</v>
      </c>
    </row>
    <row r="217" spans="10:12" x14ac:dyDescent="0.25">
      <c r="J217" s="1">
        <v>3000</v>
      </c>
      <c r="K217" s="1">
        <v>1.04</v>
      </c>
      <c r="L217" s="1">
        <v>1</v>
      </c>
    </row>
    <row r="218" spans="10:12" x14ac:dyDescent="0.25">
      <c r="J218" s="1">
        <v>3100</v>
      </c>
      <c r="K218" s="1">
        <v>1.04</v>
      </c>
      <c r="L218" s="1">
        <v>1</v>
      </c>
    </row>
    <row r="221" spans="10:12" ht="15.75" thickBot="1" x14ac:dyDescent="0.3"/>
    <row r="222" spans="10:12" x14ac:dyDescent="0.25">
      <c r="J222" s="10" t="s">
        <v>9</v>
      </c>
      <c r="K222" s="11"/>
      <c r="L222" s="12"/>
    </row>
    <row r="223" spans="10:12" ht="15.75" thickBot="1" x14ac:dyDescent="0.3">
      <c r="J223" s="4" t="s">
        <v>0</v>
      </c>
      <c r="K223" s="5" t="s">
        <v>1</v>
      </c>
      <c r="L223" s="6" t="s">
        <v>2</v>
      </c>
    </row>
    <row r="224" spans="10:12" x14ac:dyDescent="0.25">
      <c r="J224" s="8">
        <v>100</v>
      </c>
      <c r="K224" s="8">
        <v>1.04</v>
      </c>
      <c r="L224" s="8">
        <v>0.01</v>
      </c>
    </row>
    <row r="225" spans="10:12" x14ac:dyDescent="0.25">
      <c r="J225" s="1">
        <v>200</v>
      </c>
      <c r="K225" s="1">
        <v>1.04</v>
      </c>
      <c r="L225" s="1">
        <v>0.01</v>
      </c>
    </row>
    <row r="226" spans="10:12" x14ac:dyDescent="0.25">
      <c r="J226" s="1">
        <v>300</v>
      </c>
      <c r="K226" s="1">
        <v>1.04</v>
      </c>
      <c r="L226" s="1">
        <v>0.224</v>
      </c>
    </row>
    <row r="227" spans="10:12" x14ac:dyDescent="0.25">
      <c r="J227" s="1">
        <v>400</v>
      </c>
      <c r="K227" s="1">
        <v>1.04</v>
      </c>
      <c r="L227" s="1">
        <v>0.64</v>
      </c>
    </row>
    <row r="228" spans="10:12" x14ac:dyDescent="0.25">
      <c r="J228" s="1">
        <v>500</v>
      </c>
      <c r="K228" s="1">
        <v>1.04</v>
      </c>
      <c r="L228" s="1">
        <v>0.98</v>
      </c>
    </row>
    <row r="229" spans="10:12" x14ac:dyDescent="0.25">
      <c r="J229" s="1">
        <v>600</v>
      </c>
      <c r="K229" s="1">
        <v>1.04</v>
      </c>
      <c r="L229" s="1">
        <v>0.98</v>
      </c>
    </row>
    <row r="230" spans="10:12" x14ac:dyDescent="0.25">
      <c r="J230" s="1">
        <v>700</v>
      </c>
      <c r="K230" s="1">
        <v>1.04</v>
      </c>
      <c r="L230" s="1">
        <v>0.98</v>
      </c>
    </row>
    <row r="231" spans="10:12" x14ac:dyDescent="0.25">
      <c r="J231" s="1">
        <v>800</v>
      </c>
      <c r="K231" s="1">
        <v>1.04</v>
      </c>
      <c r="L231" s="1">
        <v>0.98</v>
      </c>
    </row>
    <row r="232" spans="10:12" x14ac:dyDescent="0.25">
      <c r="J232" s="1">
        <v>900</v>
      </c>
      <c r="K232" s="1">
        <v>1.04</v>
      </c>
      <c r="L232" s="1">
        <v>0.98</v>
      </c>
    </row>
    <row r="233" spans="10:12" x14ac:dyDescent="0.25">
      <c r="J233" s="1">
        <v>1000</v>
      </c>
      <c r="K233" s="1">
        <v>1.04</v>
      </c>
      <c r="L233" s="1">
        <v>0.98</v>
      </c>
    </row>
    <row r="234" spans="10:12" x14ac:dyDescent="0.25">
      <c r="J234" s="1">
        <v>1100</v>
      </c>
      <c r="K234" s="1">
        <v>1.04</v>
      </c>
      <c r="L234" s="1">
        <v>0.98</v>
      </c>
    </row>
    <row r="235" spans="10:12" x14ac:dyDescent="0.25">
      <c r="J235" s="1">
        <v>1200</v>
      </c>
      <c r="K235" s="1">
        <v>1.04</v>
      </c>
      <c r="L235" s="1">
        <v>1</v>
      </c>
    </row>
    <row r="236" spans="10:12" x14ac:dyDescent="0.25">
      <c r="J236" s="1">
        <v>1300</v>
      </c>
      <c r="K236" s="1">
        <v>1.04</v>
      </c>
      <c r="L236" s="1">
        <v>1</v>
      </c>
    </row>
    <row r="237" spans="10:12" x14ac:dyDescent="0.25">
      <c r="J237" s="1">
        <v>1400</v>
      </c>
      <c r="K237" s="1">
        <v>1.04</v>
      </c>
      <c r="L237" s="1">
        <v>1</v>
      </c>
    </row>
    <row r="238" spans="10:12" x14ac:dyDescent="0.25">
      <c r="J238" s="1">
        <v>1500</v>
      </c>
      <c r="K238" s="1">
        <v>1.04</v>
      </c>
      <c r="L238" s="1">
        <v>1</v>
      </c>
    </row>
    <row r="239" spans="10:12" x14ac:dyDescent="0.25">
      <c r="J239" s="1">
        <v>1600</v>
      </c>
      <c r="K239" s="1">
        <v>1.04</v>
      </c>
      <c r="L239" s="1">
        <v>1</v>
      </c>
    </row>
    <row r="240" spans="10:12" x14ac:dyDescent="0.25">
      <c r="J240" s="1">
        <v>1700</v>
      </c>
      <c r="K240" s="1">
        <v>1.04</v>
      </c>
      <c r="L240" s="1">
        <v>1</v>
      </c>
    </row>
    <row r="241" spans="10:12" x14ac:dyDescent="0.25">
      <c r="J241" s="1">
        <v>1800</v>
      </c>
      <c r="K241" s="1">
        <v>1.04</v>
      </c>
      <c r="L241" s="1">
        <v>1</v>
      </c>
    </row>
    <row r="242" spans="10:12" x14ac:dyDescent="0.25">
      <c r="J242" s="1">
        <v>1900</v>
      </c>
      <c r="K242" s="1">
        <v>1.04</v>
      </c>
      <c r="L242" s="1">
        <v>1</v>
      </c>
    </row>
    <row r="243" spans="10:12" x14ac:dyDescent="0.25">
      <c r="J243" s="1">
        <v>2000</v>
      </c>
      <c r="K243" s="1">
        <v>1.04</v>
      </c>
      <c r="L243" s="1">
        <v>1</v>
      </c>
    </row>
    <row r="244" spans="10:12" x14ac:dyDescent="0.25">
      <c r="J244" s="1">
        <v>2100</v>
      </c>
      <c r="K244" s="1">
        <v>1.04</v>
      </c>
      <c r="L244" s="1">
        <v>1</v>
      </c>
    </row>
    <row r="245" spans="10:12" x14ac:dyDescent="0.25">
      <c r="J245" s="1">
        <v>2200</v>
      </c>
      <c r="K245" s="1">
        <v>1.04</v>
      </c>
      <c r="L245" s="1">
        <v>1</v>
      </c>
    </row>
    <row r="246" spans="10:12" x14ac:dyDescent="0.25">
      <c r="J246" s="1">
        <v>2300</v>
      </c>
      <c r="K246" s="1">
        <v>1.04</v>
      </c>
      <c r="L246" s="1">
        <v>1</v>
      </c>
    </row>
    <row r="247" spans="10:12" x14ac:dyDescent="0.25">
      <c r="J247" s="1">
        <v>2400</v>
      </c>
      <c r="K247" s="1">
        <v>1.04</v>
      </c>
      <c r="L247" s="1">
        <v>1</v>
      </c>
    </row>
    <row r="248" spans="10:12" x14ac:dyDescent="0.25">
      <c r="J248" s="1">
        <v>2500</v>
      </c>
      <c r="K248" s="1">
        <v>1.04</v>
      </c>
      <c r="L248" s="1">
        <v>1</v>
      </c>
    </row>
    <row r="249" spans="10:12" x14ac:dyDescent="0.25">
      <c r="J249" s="1">
        <v>2600</v>
      </c>
      <c r="K249" s="1">
        <v>1.04</v>
      </c>
      <c r="L249" s="1">
        <v>1</v>
      </c>
    </row>
    <row r="250" spans="10:12" x14ac:dyDescent="0.25">
      <c r="J250" s="1">
        <v>2700</v>
      </c>
      <c r="K250" s="1">
        <v>1.04</v>
      </c>
      <c r="L250" s="1">
        <v>1</v>
      </c>
    </row>
    <row r="251" spans="10:12" x14ac:dyDescent="0.25">
      <c r="J251" s="1">
        <v>2800</v>
      </c>
      <c r="K251" s="1">
        <v>1.04</v>
      </c>
      <c r="L251" s="1">
        <v>1</v>
      </c>
    </row>
    <row r="252" spans="10:12" x14ac:dyDescent="0.25">
      <c r="J252" s="1">
        <v>2900</v>
      </c>
      <c r="K252" s="1">
        <v>1.04</v>
      </c>
      <c r="L252" s="1">
        <v>1</v>
      </c>
    </row>
    <row r="253" spans="10:12" x14ac:dyDescent="0.25">
      <c r="J253" s="1">
        <v>3000</v>
      </c>
      <c r="K253" s="1">
        <v>1.04</v>
      </c>
      <c r="L253" s="1">
        <v>1</v>
      </c>
    </row>
    <row r="254" spans="10:12" x14ac:dyDescent="0.25">
      <c r="J254" s="1">
        <v>3100</v>
      </c>
      <c r="K254" s="1">
        <v>1.04</v>
      </c>
      <c r="L254" s="1">
        <v>1</v>
      </c>
    </row>
    <row r="257" spans="10:12" ht="15.75" thickBot="1" x14ac:dyDescent="0.3"/>
    <row r="258" spans="10:12" x14ac:dyDescent="0.25">
      <c r="J258" s="10" t="s">
        <v>10</v>
      </c>
      <c r="K258" s="11"/>
      <c r="L258" s="12"/>
    </row>
    <row r="259" spans="10:12" ht="15.75" thickBot="1" x14ac:dyDescent="0.3">
      <c r="J259" s="4" t="s">
        <v>0</v>
      </c>
      <c r="K259" s="5" t="s">
        <v>1</v>
      </c>
      <c r="L259" s="6" t="s">
        <v>2</v>
      </c>
    </row>
    <row r="260" spans="10:12" x14ac:dyDescent="0.25">
      <c r="J260" s="8">
        <v>100</v>
      </c>
      <c r="K260" s="8">
        <v>1.04</v>
      </c>
      <c r="L260" s="8">
        <v>0.01</v>
      </c>
    </row>
    <row r="261" spans="10:12" x14ac:dyDescent="0.25">
      <c r="J261" s="1">
        <v>200</v>
      </c>
      <c r="K261" s="1">
        <v>1.04</v>
      </c>
      <c r="L261" s="1">
        <v>0.01</v>
      </c>
    </row>
    <row r="262" spans="10:12" x14ac:dyDescent="0.25">
      <c r="J262" s="1">
        <v>300</v>
      </c>
      <c r="K262" s="1">
        <v>1.04</v>
      </c>
      <c r="L262" s="1">
        <v>0.32</v>
      </c>
    </row>
    <row r="263" spans="10:12" x14ac:dyDescent="0.25">
      <c r="J263" s="1">
        <v>400</v>
      </c>
      <c r="K263" s="1">
        <v>1.04</v>
      </c>
      <c r="L263" s="1">
        <v>0.64</v>
      </c>
    </row>
    <row r="264" spans="10:12" x14ac:dyDescent="0.25">
      <c r="J264" s="1">
        <v>500</v>
      </c>
      <c r="K264" s="1">
        <v>1.04</v>
      </c>
      <c r="L264" s="1">
        <v>0.82</v>
      </c>
    </row>
    <row r="265" spans="10:12" x14ac:dyDescent="0.25">
      <c r="J265" s="1">
        <v>600</v>
      </c>
      <c r="K265" s="1">
        <v>1.04</v>
      </c>
      <c r="L265" s="1">
        <v>0.96</v>
      </c>
    </row>
    <row r="266" spans="10:12" x14ac:dyDescent="0.25">
      <c r="J266" s="1">
        <v>700</v>
      </c>
      <c r="K266" s="1">
        <v>1.04</v>
      </c>
      <c r="L266" s="1">
        <v>0.96</v>
      </c>
    </row>
    <row r="267" spans="10:12" x14ac:dyDescent="0.25">
      <c r="J267" s="1">
        <v>800</v>
      </c>
      <c r="K267" s="1">
        <v>1.04</v>
      </c>
      <c r="L267" s="1">
        <v>0.96</v>
      </c>
    </row>
    <row r="268" spans="10:12" x14ac:dyDescent="0.25">
      <c r="J268" s="1">
        <v>900</v>
      </c>
      <c r="K268" s="1">
        <v>1.04</v>
      </c>
      <c r="L268" s="1">
        <v>0.96</v>
      </c>
    </row>
    <row r="269" spans="10:12" x14ac:dyDescent="0.25">
      <c r="J269" s="1">
        <v>1000</v>
      </c>
      <c r="K269" s="1">
        <v>1.04</v>
      </c>
      <c r="L269" s="1">
        <v>0.96</v>
      </c>
    </row>
    <row r="270" spans="10:12" x14ac:dyDescent="0.25">
      <c r="J270" s="1">
        <v>1100</v>
      </c>
      <c r="K270" s="1">
        <v>1.04</v>
      </c>
      <c r="L270" s="1">
        <v>0.98</v>
      </c>
    </row>
    <row r="271" spans="10:12" x14ac:dyDescent="0.25">
      <c r="J271" s="1">
        <v>1200</v>
      </c>
      <c r="K271" s="1">
        <v>1.04</v>
      </c>
      <c r="L271" s="1">
        <v>0.98</v>
      </c>
    </row>
    <row r="272" spans="10:12" x14ac:dyDescent="0.25">
      <c r="J272" s="1">
        <v>1300</v>
      </c>
      <c r="K272" s="1">
        <v>1.04</v>
      </c>
      <c r="L272" s="1">
        <v>0.98</v>
      </c>
    </row>
    <row r="273" spans="10:12" x14ac:dyDescent="0.25">
      <c r="J273" s="1">
        <v>1400</v>
      </c>
      <c r="K273" s="1">
        <v>1.04</v>
      </c>
      <c r="L273" s="1">
        <v>1</v>
      </c>
    </row>
    <row r="274" spans="10:12" x14ac:dyDescent="0.25">
      <c r="J274" s="1">
        <v>1500</v>
      </c>
      <c r="K274" s="1">
        <v>1.04</v>
      </c>
      <c r="L274" s="1">
        <v>1</v>
      </c>
    </row>
    <row r="275" spans="10:12" x14ac:dyDescent="0.25">
      <c r="J275" s="1">
        <v>1600</v>
      </c>
      <c r="K275" s="1">
        <v>1.04</v>
      </c>
      <c r="L275" s="1">
        <v>1</v>
      </c>
    </row>
    <row r="276" spans="10:12" x14ac:dyDescent="0.25">
      <c r="J276" s="1">
        <v>1700</v>
      </c>
      <c r="K276" s="1">
        <v>1.04</v>
      </c>
      <c r="L276" s="1">
        <v>1</v>
      </c>
    </row>
    <row r="277" spans="10:12" x14ac:dyDescent="0.25">
      <c r="J277" s="1">
        <v>1800</v>
      </c>
      <c r="K277" s="1">
        <v>1.04</v>
      </c>
      <c r="L277" s="1">
        <v>1</v>
      </c>
    </row>
    <row r="278" spans="10:12" x14ac:dyDescent="0.25">
      <c r="J278" s="1">
        <v>1900</v>
      </c>
      <c r="K278" s="1">
        <v>1.04</v>
      </c>
      <c r="L278" s="1">
        <v>1</v>
      </c>
    </row>
    <row r="279" spans="10:12" x14ac:dyDescent="0.25">
      <c r="J279" s="1">
        <v>2000</v>
      </c>
      <c r="K279" s="1">
        <v>1.04</v>
      </c>
      <c r="L279" s="1">
        <v>1</v>
      </c>
    </row>
    <row r="280" spans="10:12" x14ac:dyDescent="0.25">
      <c r="J280" s="1">
        <v>2100</v>
      </c>
      <c r="K280" s="1">
        <v>1.04</v>
      </c>
      <c r="L280" s="1">
        <v>1</v>
      </c>
    </row>
    <row r="281" spans="10:12" x14ac:dyDescent="0.25">
      <c r="J281" s="1">
        <v>2200</v>
      </c>
      <c r="K281" s="1">
        <v>1.04</v>
      </c>
      <c r="L281" s="1">
        <v>1</v>
      </c>
    </row>
    <row r="282" spans="10:12" x14ac:dyDescent="0.25">
      <c r="J282" s="1">
        <v>2300</v>
      </c>
      <c r="K282" s="1">
        <v>1.04</v>
      </c>
      <c r="L282" s="1">
        <v>1</v>
      </c>
    </row>
    <row r="283" spans="10:12" x14ac:dyDescent="0.25">
      <c r="J283" s="1">
        <v>2400</v>
      </c>
      <c r="K283" s="1">
        <v>1.04</v>
      </c>
      <c r="L283" s="1">
        <v>1</v>
      </c>
    </row>
    <row r="284" spans="10:12" x14ac:dyDescent="0.25">
      <c r="J284" s="1">
        <v>2500</v>
      </c>
      <c r="K284" s="1">
        <v>1.04</v>
      </c>
      <c r="L284" s="1">
        <v>1</v>
      </c>
    </row>
    <row r="285" spans="10:12" x14ac:dyDescent="0.25">
      <c r="J285" s="1">
        <v>2600</v>
      </c>
      <c r="K285" s="1">
        <v>1.04</v>
      </c>
      <c r="L285" s="1">
        <v>1</v>
      </c>
    </row>
    <row r="286" spans="10:12" x14ac:dyDescent="0.25">
      <c r="J286" s="1">
        <v>2700</v>
      </c>
      <c r="K286" s="1">
        <v>1.04</v>
      </c>
      <c r="L286" s="1">
        <v>1</v>
      </c>
    </row>
    <row r="287" spans="10:12" x14ac:dyDescent="0.25">
      <c r="J287" s="1">
        <v>2800</v>
      </c>
      <c r="K287" s="1">
        <v>1.04</v>
      </c>
      <c r="L287" s="1">
        <v>1</v>
      </c>
    </row>
    <row r="288" spans="10:12" x14ac:dyDescent="0.25">
      <c r="J288" s="1">
        <v>2900</v>
      </c>
      <c r="K288" s="1">
        <v>1.04</v>
      </c>
      <c r="L288" s="1">
        <v>1</v>
      </c>
    </row>
    <row r="289" spans="10:12" x14ac:dyDescent="0.25">
      <c r="J289" s="1">
        <v>3000</v>
      </c>
      <c r="K289" s="1">
        <v>1.04</v>
      </c>
      <c r="L289" s="1">
        <v>1.04</v>
      </c>
    </row>
    <row r="290" spans="10:12" x14ac:dyDescent="0.25">
      <c r="J290" s="1">
        <v>3100</v>
      </c>
      <c r="K290" s="1">
        <v>1.04</v>
      </c>
      <c r="L290" s="1">
        <v>1.04</v>
      </c>
    </row>
    <row r="293" spans="10:12" ht="15.75" thickBot="1" x14ac:dyDescent="0.3"/>
    <row r="294" spans="10:12" x14ac:dyDescent="0.25">
      <c r="J294" s="10" t="s">
        <v>11</v>
      </c>
      <c r="K294" s="11"/>
      <c r="L294" s="12"/>
    </row>
    <row r="295" spans="10:12" ht="15.75" thickBot="1" x14ac:dyDescent="0.3">
      <c r="J295" s="4" t="s">
        <v>0</v>
      </c>
      <c r="K295" s="5" t="s">
        <v>1</v>
      </c>
      <c r="L295" s="6" t="s">
        <v>2</v>
      </c>
    </row>
    <row r="296" spans="10:12" x14ac:dyDescent="0.25">
      <c r="J296" s="8">
        <v>100</v>
      </c>
      <c r="K296" s="8">
        <v>1.04</v>
      </c>
      <c r="L296" s="8">
        <v>0.01</v>
      </c>
    </row>
    <row r="297" spans="10:12" x14ac:dyDescent="0.25">
      <c r="J297" s="1">
        <v>200</v>
      </c>
      <c r="K297" s="1">
        <v>1.04</v>
      </c>
      <c r="L297" s="1">
        <v>0.01</v>
      </c>
    </row>
    <row r="298" spans="10:12" x14ac:dyDescent="0.25">
      <c r="J298" s="1">
        <v>300</v>
      </c>
      <c r="K298" s="1">
        <v>1.04</v>
      </c>
      <c r="L298" s="1">
        <v>0.36</v>
      </c>
    </row>
    <row r="299" spans="10:12" x14ac:dyDescent="0.25">
      <c r="J299" s="1">
        <v>400</v>
      </c>
      <c r="K299" s="1">
        <v>1.04</v>
      </c>
      <c r="L299" s="1">
        <v>0.6</v>
      </c>
    </row>
    <row r="300" spans="10:12" x14ac:dyDescent="0.25">
      <c r="J300" s="1">
        <v>500</v>
      </c>
      <c r="K300" s="1">
        <v>1.04</v>
      </c>
      <c r="L300" s="1">
        <v>0.86</v>
      </c>
    </row>
    <row r="301" spans="10:12" x14ac:dyDescent="0.25">
      <c r="J301" s="1">
        <v>600</v>
      </c>
      <c r="K301" s="1">
        <v>1.04</v>
      </c>
      <c r="L301" s="1">
        <v>0.95</v>
      </c>
    </row>
    <row r="302" spans="10:12" x14ac:dyDescent="0.25">
      <c r="J302" s="1">
        <v>700</v>
      </c>
      <c r="K302" s="1">
        <v>1.04</v>
      </c>
      <c r="L302" s="1">
        <v>0.96</v>
      </c>
    </row>
    <row r="303" spans="10:12" x14ac:dyDescent="0.25">
      <c r="J303" s="1">
        <v>800</v>
      </c>
      <c r="K303" s="1">
        <v>1.04</v>
      </c>
      <c r="L303" s="1">
        <v>0.96</v>
      </c>
    </row>
    <row r="304" spans="10:12" x14ac:dyDescent="0.25">
      <c r="J304" s="1">
        <v>900</v>
      </c>
      <c r="K304" s="1">
        <v>1.04</v>
      </c>
      <c r="L304" s="1">
        <v>0.96</v>
      </c>
    </row>
    <row r="305" spans="10:12" x14ac:dyDescent="0.25">
      <c r="J305" s="1">
        <v>1000</v>
      </c>
      <c r="K305" s="1">
        <v>1.04</v>
      </c>
      <c r="L305" s="1">
        <v>0.96</v>
      </c>
    </row>
    <row r="306" spans="10:12" x14ac:dyDescent="0.25">
      <c r="J306" s="1">
        <v>1100</v>
      </c>
      <c r="K306" s="1">
        <v>1.04</v>
      </c>
      <c r="L306" s="1">
        <v>0.96</v>
      </c>
    </row>
    <row r="307" spans="10:12" x14ac:dyDescent="0.25">
      <c r="J307" s="1">
        <v>1200</v>
      </c>
      <c r="K307" s="1">
        <v>1.04</v>
      </c>
      <c r="L307" s="1">
        <v>0.97</v>
      </c>
    </row>
    <row r="308" spans="10:12" x14ac:dyDescent="0.25">
      <c r="J308" s="1">
        <v>1300</v>
      </c>
      <c r="K308" s="1">
        <v>1.04</v>
      </c>
      <c r="L308" s="1">
        <v>0.97</v>
      </c>
    </row>
    <row r="309" spans="10:12" x14ac:dyDescent="0.25">
      <c r="J309" s="1">
        <v>1400</v>
      </c>
      <c r="K309" s="1">
        <v>1.04</v>
      </c>
      <c r="L309" s="1">
        <v>0.96</v>
      </c>
    </row>
    <row r="310" spans="10:12" x14ac:dyDescent="0.25">
      <c r="J310" s="1">
        <v>1500</v>
      </c>
      <c r="K310" s="1">
        <v>1.04</v>
      </c>
      <c r="L310" s="1">
        <v>0.96</v>
      </c>
    </row>
    <row r="311" spans="10:12" x14ac:dyDescent="0.25">
      <c r="J311" s="1">
        <v>1600</v>
      </c>
      <c r="K311" s="1">
        <v>1.04</v>
      </c>
      <c r="L311" s="1">
        <v>1</v>
      </c>
    </row>
    <row r="312" spans="10:12" x14ac:dyDescent="0.25">
      <c r="J312" s="1">
        <v>1700</v>
      </c>
      <c r="K312" s="1">
        <v>1.04</v>
      </c>
      <c r="L312" s="1">
        <v>1</v>
      </c>
    </row>
    <row r="313" spans="10:12" x14ac:dyDescent="0.25">
      <c r="J313" s="1">
        <v>1800</v>
      </c>
      <c r="K313" s="1">
        <v>1.04</v>
      </c>
      <c r="L313" s="1">
        <v>1.02</v>
      </c>
    </row>
    <row r="314" spans="10:12" x14ac:dyDescent="0.25">
      <c r="J314" s="1">
        <v>1900</v>
      </c>
      <c r="K314" s="1">
        <v>1.04</v>
      </c>
      <c r="L314" s="1">
        <v>1.02</v>
      </c>
    </row>
    <row r="315" spans="10:12" x14ac:dyDescent="0.25">
      <c r="J315" s="1">
        <v>2000</v>
      </c>
      <c r="K315" s="1">
        <v>1.04</v>
      </c>
      <c r="L315" s="1">
        <v>1.04</v>
      </c>
    </row>
    <row r="316" spans="10:12" x14ac:dyDescent="0.25">
      <c r="J316" s="1">
        <v>2100</v>
      </c>
      <c r="K316" s="1">
        <v>1.04</v>
      </c>
      <c r="L316" s="1">
        <v>1.04</v>
      </c>
    </row>
    <row r="317" spans="10:12" x14ac:dyDescent="0.25">
      <c r="J317" s="1">
        <v>2200</v>
      </c>
      <c r="K317" s="1">
        <v>1.04</v>
      </c>
      <c r="L317" s="1">
        <v>1.04</v>
      </c>
    </row>
    <row r="318" spans="10:12" x14ac:dyDescent="0.25">
      <c r="J318" s="1">
        <v>2300</v>
      </c>
      <c r="K318" s="1">
        <v>1.04</v>
      </c>
      <c r="L318" s="1">
        <v>1.04</v>
      </c>
    </row>
    <row r="319" spans="10:12" x14ac:dyDescent="0.25">
      <c r="J319" s="1">
        <v>2400</v>
      </c>
      <c r="K319" s="1">
        <v>1.04</v>
      </c>
      <c r="L319" s="1">
        <v>1.04</v>
      </c>
    </row>
    <row r="320" spans="10:12" x14ac:dyDescent="0.25">
      <c r="J320" s="1">
        <v>2500</v>
      </c>
      <c r="K320" s="1">
        <v>1.04</v>
      </c>
      <c r="L320" s="1">
        <v>1.04</v>
      </c>
    </row>
    <row r="321" spans="10:12" x14ac:dyDescent="0.25">
      <c r="J321" s="1">
        <v>2600</v>
      </c>
      <c r="K321" s="1">
        <v>1.04</v>
      </c>
      <c r="L321" s="1">
        <v>1.04</v>
      </c>
    </row>
    <row r="322" spans="10:12" x14ac:dyDescent="0.25">
      <c r="J322" s="1">
        <v>2700</v>
      </c>
      <c r="K322" s="1">
        <v>1.04</v>
      </c>
      <c r="L322" s="1">
        <v>1.04</v>
      </c>
    </row>
    <row r="323" spans="10:12" x14ac:dyDescent="0.25">
      <c r="J323" s="1">
        <v>2800</v>
      </c>
      <c r="K323" s="1">
        <v>1.04</v>
      </c>
      <c r="L323" s="1">
        <v>1.04</v>
      </c>
    </row>
    <row r="324" spans="10:12" x14ac:dyDescent="0.25">
      <c r="J324" s="1">
        <v>2900</v>
      </c>
      <c r="K324" s="1">
        <v>1.04</v>
      </c>
      <c r="L324" s="1">
        <v>1.04</v>
      </c>
    </row>
    <row r="325" spans="10:12" x14ac:dyDescent="0.25">
      <c r="J325" s="1">
        <v>3000</v>
      </c>
      <c r="K325" s="1">
        <v>1.04</v>
      </c>
      <c r="L325" s="1">
        <v>1.04</v>
      </c>
    </row>
    <row r="326" spans="10:12" x14ac:dyDescent="0.25">
      <c r="J326" s="1">
        <v>3100</v>
      </c>
      <c r="K326" s="1">
        <v>1.04</v>
      </c>
      <c r="L326" s="1">
        <v>1.04</v>
      </c>
    </row>
    <row r="329" spans="10:12" ht="15.75" thickBot="1" x14ac:dyDescent="0.3"/>
    <row r="330" spans="10:12" x14ac:dyDescent="0.25">
      <c r="J330" s="10" t="s">
        <v>12</v>
      </c>
      <c r="K330" s="11"/>
      <c r="L330" s="12"/>
    </row>
    <row r="331" spans="10:12" ht="15.75" thickBot="1" x14ac:dyDescent="0.3">
      <c r="J331" s="4" t="s">
        <v>0</v>
      </c>
      <c r="K331" s="5" t="s">
        <v>1</v>
      </c>
      <c r="L331" s="6" t="s">
        <v>2</v>
      </c>
    </row>
    <row r="332" spans="10:12" x14ac:dyDescent="0.25">
      <c r="J332" s="8">
        <v>100</v>
      </c>
      <c r="K332" s="8">
        <v>1.04</v>
      </c>
      <c r="L332" s="8">
        <v>0.01</v>
      </c>
    </row>
    <row r="333" spans="10:12" x14ac:dyDescent="0.25">
      <c r="J333" s="1">
        <v>200</v>
      </c>
      <c r="K333" s="1">
        <v>1.04</v>
      </c>
      <c r="L333" s="1">
        <v>0.32</v>
      </c>
    </row>
    <row r="334" spans="10:12" x14ac:dyDescent="0.25">
      <c r="J334" s="1">
        <v>300</v>
      </c>
      <c r="K334" s="1">
        <v>1.04</v>
      </c>
      <c r="L334" s="1">
        <v>0.46</v>
      </c>
    </row>
    <row r="335" spans="10:12" x14ac:dyDescent="0.25">
      <c r="J335" s="1">
        <v>400</v>
      </c>
      <c r="K335" s="1">
        <v>1.04</v>
      </c>
      <c r="L335" s="1">
        <v>0.6</v>
      </c>
    </row>
    <row r="336" spans="10:12" x14ac:dyDescent="0.25">
      <c r="J336" s="1">
        <v>500</v>
      </c>
      <c r="K336" s="1">
        <v>1.04</v>
      </c>
      <c r="L336" s="1">
        <v>0.8</v>
      </c>
    </row>
    <row r="337" spans="10:12" x14ac:dyDescent="0.25">
      <c r="J337" s="1">
        <v>600</v>
      </c>
      <c r="K337" s="1">
        <v>1.04</v>
      </c>
      <c r="L337" s="1">
        <v>0.98</v>
      </c>
    </row>
    <row r="338" spans="10:12" x14ac:dyDescent="0.25">
      <c r="J338" s="1">
        <v>700</v>
      </c>
      <c r="K338" s="1">
        <v>1.04</v>
      </c>
      <c r="L338" s="1">
        <v>0.98</v>
      </c>
    </row>
    <row r="339" spans="10:12" x14ac:dyDescent="0.25">
      <c r="J339" s="1">
        <v>800</v>
      </c>
      <c r="K339" s="1">
        <v>1.04</v>
      </c>
      <c r="L339" s="1">
        <v>0.98</v>
      </c>
    </row>
    <row r="340" spans="10:12" x14ac:dyDescent="0.25">
      <c r="J340" s="1">
        <v>900</v>
      </c>
      <c r="K340" s="1">
        <v>1.04</v>
      </c>
      <c r="L340" s="1">
        <v>0.98</v>
      </c>
    </row>
    <row r="341" spans="10:12" x14ac:dyDescent="0.25">
      <c r="J341" s="1">
        <v>1000</v>
      </c>
      <c r="K341" s="1">
        <v>1.04</v>
      </c>
      <c r="L341" s="1">
        <v>1</v>
      </c>
    </row>
    <row r="342" spans="10:12" x14ac:dyDescent="0.25">
      <c r="J342" s="1">
        <v>1100</v>
      </c>
      <c r="K342" s="1">
        <v>1.04</v>
      </c>
      <c r="L342" s="1">
        <v>1</v>
      </c>
    </row>
    <row r="343" spans="10:12" x14ac:dyDescent="0.25">
      <c r="J343" s="1">
        <v>1200</v>
      </c>
      <c r="K343" s="1">
        <v>1.04</v>
      </c>
      <c r="L343" s="1">
        <v>1</v>
      </c>
    </row>
    <row r="344" spans="10:12" x14ac:dyDescent="0.25">
      <c r="J344" s="1">
        <v>1300</v>
      </c>
      <c r="K344" s="1">
        <v>1.04</v>
      </c>
      <c r="L344" s="1">
        <v>1</v>
      </c>
    </row>
    <row r="345" spans="10:12" x14ac:dyDescent="0.25">
      <c r="J345" s="1">
        <v>1400</v>
      </c>
      <c r="K345" s="1">
        <v>1.04</v>
      </c>
      <c r="L345" s="1">
        <v>1</v>
      </c>
    </row>
    <row r="346" spans="10:12" x14ac:dyDescent="0.25">
      <c r="J346" s="1">
        <v>1500</v>
      </c>
      <c r="K346" s="1">
        <v>1.04</v>
      </c>
      <c r="L346" s="1">
        <v>1</v>
      </c>
    </row>
    <row r="347" spans="10:12" x14ac:dyDescent="0.25">
      <c r="J347" s="1">
        <v>1600</v>
      </c>
      <c r="K347" s="1">
        <v>1.04</v>
      </c>
      <c r="L347" s="1">
        <v>1</v>
      </c>
    </row>
    <row r="348" spans="10:12" x14ac:dyDescent="0.25">
      <c r="J348" s="1">
        <v>1700</v>
      </c>
      <c r="K348" s="1">
        <v>1.04</v>
      </c>
      <c r="L348" s="1">
        <v>1</v>
      </c>
    </row>
    <row r="349" spans="10:12" x14ac:dyDescent="0.25">
      <c r="J349" s="1">
        <v>1800</v>
      </c>
      <c r="K349" s="1">
        <v>1.04</v>
      </c>
      <c r="L349" s="1">
        <v>1.02</v>
      </c>
    </row>
    <row r="350" spans="10:12" x14ac:dyDescent="0.25">
      <c r="J350" s="1">
        <v>1900</v>
      </c>
      <c r="K350" s="1">
        <v>1.04</v>
      </c>
      <c r="L350" s="1">
        <v>1.02</v>
      </c>
    </row>
    <row r="351" spans="10:12" x14ac:dyDescent="0.25">
      <c r="J351" s="1">
        <v>2000</v>
      </c>
      <c r="K351" s="1">
        <v>1.04</v>
      </c>
      <c r="L351" s="1">
        <v>1.02</v>
      </c>
    </row>
    <row r="352" spans="10:12" x14ac:dyDescent="0.25">
      <c r="J352" s="1">
        <v>2100</v>
      </c>
      <c r="K352" s="1">
        <v>1.04</v>
      </c>
      <c r="L352" s="1">
        <v>1.02</v>
      </c>
    </row>
    <row r="353" spans="10:12" x14ac:dyDescent="0.25">
      <c r="J353" s="1">
        <v>2200</v>
      </c>
      <c r="K353" s="1">
        <v>1.04</v>
      </c>
      <c r="L353" s="1">
        <v>1.02</v>
      </c>
    </row>
    <row r="354" spans="10:12" x14ac:dyDescent="0.25">
      <c r="J354" s="1">
        <v>2300</v>
      </c>
      <c r="K354" s="1">
        <v>1.04</v>
      </c>
      <c r="L354" s="1">
        <v>1.02</v>
      </c>
    </row>
    <row r="355" spans="10:12" x14ac:dyDescent="0.25">
      <c r="J355" s="1">
        <v>2400</v>
      </c>
      <c r="K355" s="1">
        <v>1.04</v>
      </c>
      <c r="L355" s="1">
        <v>1.02</v>
      </c>
    </row>
    <row r="356" spans="10:12" x14ac:dyDescent="0.25">
      <c r="J356" s="1">
        <v>2500</v>
      </c>
      <c r="K356" s="1">
        <v>1.04</v>
      </c>
      <c r="L356" s="1">
        <v>1</v>
      </c>
    </row>
    <row r="357" spans="10:12" x14ac:dyDescent="0.25">
      <c r="J357" s="1">
        <v>2600</v>
      </c>
      <c r="K357" s="1">
        <v>1.04</v>
      </c>
      <c r="L357" s="1">
        <v>1</v>
      </c>
    </row>
    <row r="358" spans="10:12" x14ac:dyDescent="0.25">
      <c r="J358" s="1">
        <v>2700</v>
      </c>
      <c r="K358" s="1">
        <v>1.04</v>
      </c>
      <c r="L358" s="1">
        <v>1</v>
      </c>
    </row>
    <row r="359" spans="10:12" x14ac:dyDescent="0.25">
      <c r="J359" s="1">
        <v>2800</v>
      </c>
      <c r="K359" s="1">
        <v>1.04</v>
      </c>
      <c r="L359" s="1">
        <v>1</v>
      </c>
    </row>
    <row r="360" spans="10:12" x14ac:dyDescent="0.25">
      <c r="J360" s="1">
        <v>2900</v>
      </c>
      <c r="K360" s="1">
        <v>1.04</v>
      </c>
      <c r="L360" s="1">
        <v>1</v>
      </c>
    </row>
    <row r="361" spans="10:12" x14ac:dyDescent="0.25">
      <c r="J361" s="1">
        <v>3000</v>
      </c>
      <c r="K361" s="1">
        <v>1.04</v>
      </c>
      <c r="L361" s="1">
        <v>1</v>
      </c>
    </row>
    <row r="362" spans="10:12" x14ac:dyDescent="0.25">
      <c r="J362" s="1">
        <v>3100</v>
      </c>
      <c r="K362" s="1">
        <v>1.04</v>
      </c>
      <c r="L362" s="1">
        <v>1</v>
      </c>
    </row>
    <row r="365" spans="10:12" ht="15.75" thickBot="1" x14ac:dyDescent="0.3"/>
    <row r="366" spans="10:12" x14ac:dyDescent="0.25">
      <c r="J366" s="10" t="s">
        <v>13</v>
      </c>
      <c r="K366" s="11"/>
      <c r="L366" s="12"/>
    </row>
    <row r="367" spans="10:12" ht="15.75" thickBot="1" x14ac:dyDescent="0.3">
      <c r="J367" s="4" t="s">
        <v>0</v>
      </c>
      <c r="K367" s="5" t="s">
        <v>1</v>
      </c>
      <c r="L367" s="6" t="s">
        <v>2</v>
      </c>
    </row>
    <row r="368" spans="10:12" x14ac:dyDescent="0.25">
      <c r="J368" s="8">
        <v>100</v>
      </c>
      <c r="K368" s="8">
        <v>1.04</v>
      </c>
      <c r="L368" s="13">
        <v>0.01</v>
      </c>
    </row>
    <row r="369" spans="10:12" x14ac:dyDescent="0.25">
      <c r="J369" s="1">
        <v>250</v>
      </c>
      <c r="K369" s="1">
        <v>1.04</v>
      </c>
      <c r="L369" s="14">
        <v>0.01</v>
      </c>
    </row>
    <row r="370" spans="10:12" x14ac:dyDescent="0.25">
      <c r="J370" s="8">
        <v>400</v>
      </c>
      <c r="K370" s="1">
        <v>1.04</v>
      </c>
      <c r="L370" s="14">
        <v>0.36</v>
      </c>
    </row>
    <row r="371" spans="10:12" x14ac:dyDescent="0.25">
      <c r="J371" s="1">
        <v>550</v>
      </c>
      <c r="K371" s="1">
        <v>1.04</v>
      </c>
      <c r="L371" s="14">
        <v>0.92</v>
      </c>
    </row>
    <row r="372" spans="10:12" x14ac:dyDescent="0.25">
      <c r="J372" s="8">
        <v>700</v>
      </c>
      <c r="K372" s="1">
        <v>1.04</v>
      </c>
      <c r="L372" s="14">
        <v>0.96</v>
      </c>
    </row>
    <row r="373" spans="10:12" x14ac:dyDescent="0.25">
      <c r="J373" s="1">
        <v>850</v>
      </c>
      <c r="K373" s="1">
        <v>1.04</v>
      </c>
      <c r="L373" s="14">
        <v>1</v>
      </c>
    </row>
    <row r="374" spans="10:12" x14ac:dyDescent="0.25">
      <c r="J374" s="8">
        <v>1000</v>
      </c>
      <c r="K374" s="1">
        <v>1.04</v>
      </c>
      <c r="L374" s="14">
        <v>1</v>
      </c>
    </row>
    <row r="375" spans="10:12" x14ac:dyDescent="0.25">
      <c r="J375" s="1">
        <v>1150</v>
      </c>
      <c r="K375" s="1">
        <v>1.04</v>
      </c>
      <c r="L375" s="14">
        <v>1.04</v>
      </c>
    </row>
    <row r="376" spans="10:12" x14ac:dyDescent="0.25">
      <c r="J376" s="8">
        <v>1300</v>
      </c>
      <c r="K376" s="1">
        <v>1.04</v>
      </c>
      <c r="L376" s="14">
        <v>1.04</v>
      </c>
    </row>
    <row r="377" spans="10:12" x14ac:dyDescent="0.25">
      <c r="J377" s="1">
        <v>1450</v>
      </c>
      <c r="K377" s="1">
        <v>1.04</v>
      </c>
      <c r="L377" s="14">
        <v>1.04</v>
      </c>
    </row>
    <row r="378" spans="10:12" x14ac:dyDescent="0.25">
      <c r="J378" s="8">
        <v>1600</v>
      </c>
      <c r="K378" s="1">
        <v>1.04</v>
      </c>
      <c r="L378" s="14">
        <v>1.04</v>
      </c>
    </row>
    <row r="379" spans="10:12" x14ac:dyDescent="0.25">
      <c r="J379" s="1">
        <v>1750</v>
      </c>
      <c r="K379" s="1">
        <v>1.04</v>
      </c>
      <c r="L379" s="14">
        <v>1.04</v>
      </c>
    </row>
    <row r="380" spans="10:12" x14ac:dyDescent="0.25">
      <c r="J380" s="8">
        <v>1900</v>
      </c>
      <c r="K380" s="1">
        <v>1.04</v>
      </c>
      <c r="L380" s="14">
        <v>1.04</v>
      </c>
    </row>
    <row r="381" spans="10:12" x14ac:dyDescent="0.25">
      <c r="J381" s="1">
        <v>2050</v>
      </c>
      <c r="K381" s="1">
        <v>1.04</v>
      </c>
      <c r="L381" s="14">
        <v>1.04</v>
      </c>
    </row>
    <row r="382" spans="10:12" x14ac:dyDescent="0.25">
      <c r="J382" s="8">
        <v>2200</v>
      </c>
      <c r="K382" s="1">
        <v>1.04</v>
      </c>
      <c r="L382" s="14">
        <v>1</v>
      </c>
    </row>
    <row r="383" spans="10:12" x14ac:dyDescent="0.25">
      <c r="J383" s="1">
        <v>2350</v>
      </c>
      <c r="K383" s="1">
        <v>1.04</v>
      </c>
      <c r="L383" s="14">
        <v>1.04</v>
      </c>
    </row>
    <row r="384" spans="10:12" x14ac:dyDescent="0.25">
      <c r="J384" s="8">
        <v>2500</v>
      </c>
      <c r="K384" s="1">
        <v>1.04</v>
      </c>
      <c r="L384" s="14">
        <v>1.04</v>
      </c>
    </row>
    <row r="385" spans="10:12" x14ac:dyDescent="0.25">
      <c r="J385" s="1">
        <v>2650</v>
      </c>
      <c r="K385" s="1">
        <v>1.04</v>
      </c>
      <c r="L385" s="14">
        <v>1.04</v>
      </c>
    </row>
    <row r="386" spans="10:12" x14ac:dyDescent="0.25">
      <c r="J386" s="8">
        <v>2800</v>
      </c>
      <c r="K386" s="1">
        <v>1.04</v>
      </c>
      <c r="L386" s="14">
        <v>1.04</v>
      </c>
    </row>
    <row r="387" spans="10:12" x14ac:dyDescent="0.25">
      <c r="J387" s="1">
        <v>2950</v>
      </c>
      <c r="K387" s="1">
        <v>1.04</v>
      </c>
      <c r="L387" s="14">
        <v>1.04</v>
      </c>
    </row>
    <row r="388" spans="10:12" x14ac:dyDescent="0.25">
      <c r="J388" s="8">
        <v>3100</v>
      </c>
      <c r="K388" s="1">
        <v>1.04</v>
      </c>
      <c r="L388" s="14">
        <v>1.04</v>
      </c>
    </row>
    <row r="389" spans="10:12" x14ac:dyDescent="0.25">
      <c r="J389" s="1">
        <v>3250</v>
      </c>
      <c r="K389" s="1">
        <v>1.04</v>
      </c>
      <c r="L389" s="14">
        <v>1.04</v>
      </c>
    </row>
    <row r="390" spans="10:12" x14ac:dyDescent="0.25">
      <c r="J390" s="8">
        <v>3400</v>
      </c>
      <c r="K390" s="1">
        <v>1.04</v>
      </c>
      <c r="L390" s="14">
        <v>1</v>
      </c>
    </row>
    <row r="391" spans="10:12" x14ac:dyDescent="0.25">
      <c r="J391" s="1">
        <v>3550</v>
      </c>
      <c r="K391" s="1">
        <v>1.04</v>
      </c>
      <c r="L391" s="14">
        <v>1</v>
      </c>
    </row>
    <row r="392" spans="10:12" x14ac:dyDescent="0.25">
      <c r="J392" s="8">
        <v>3700</v>
      </c>
      <c r="K392" s="1">
        <v>1.04</v>
      </c>
      <c r="L392" s="14">
        <v>0.2</v>
      </c>
    </row>
    <row r="393" spans="10:12" x14ac:dyDescent="0.25">
      <c r="J393" s="1">
        <v>3850</v>
      </c>
      <c r="K393" s="1">
        <v>1.04</v>
      </c>
      <c r="L393" s="14">
        <v>0.01</v>
      </c>
    </row>
    <row r="394" spans="10:12" x14ac:dyDescent="0.25">
      <c r="J394" s="8">
        <v>4000</v>
      </c>
      <c r="K394" s="1">
        <v>1.04</v>
      </c>
      <c r="L394" s="14">
        <v>0.01</v>
      </c>
    </row>
    <row r="395" spans="10:12" x14ac:dyDescent="0.25">
      <c r="J395" s="1">
        <v>4150</v>
      </c>
      <c r="K395" s="1">
        <v>1.04</v>
      </c>
      <c r="L395" s="14">
        <v>0.01</v>
      </c>
    </row>
    <row r="396" spans="10:12" x14ac:dyDescent="0.25">
      <c r="J396" s="8">
        <v>4300</v>
      </c>
      <c r="K396" s="1">
        <v>1.04</v>
      </c>
      <c r="L396" s="14">
        <v>0.01</v>
      </c>
    </row>
    <row r="397" spans="10:12" x14ac:dyDescent="0.25">
      <c r="J397" s="1">
        <v>4450</v>
      </c>
      <c r="K397" s="1">
        <v>1.04</v>
      </c>
      <c r="L397" s="14">
        <v>0.01</v>
      </c>
    </row>
    <row r="398" spans="10:12" x14ac:dyDescent="0.25">
      <c r="J398" s="8">
        <v>4600</v>
      </c>
      <c r="K398" s="1">
        <v>1.04</v>
      </c>
      <c r="L398" s="14">
        <v>0.01</v>
      </c>
    </row>
    <row r="401" spans="10:12" ht="15.75" thickBot="1" x14ac:dyDescent="0.3"/>
    <row r="402" spans="10:12" x14ac:dyDescent="0.25">
      <c r="J402" s="10" t="s">
        <v>14</v>
      </c>
      <c r="K402" s="11"/>
      <c r="L402" s="12"/>
    </row>
    <row r="403" spans="10:12" ht="15.75" thickBot="1" x14ac:dyDescent="0.3">
      <c r="J403" s="4" t="s">
        <v>0</v>
      </c>
      <c r="K403" s="5" t="s">
        <v>1</v>
      </c>
      <c r="L403" s="6" t="s">
        <v>2</v>
      </c>
    </row>
    <row r="404" spans="10:12" x14ac:dyDescent="0.25">
      <c r="J404" s="8">
        <v>100</v>
      </c>
      <c r="K404" s="8">
        <v>1.04</v>
      </c>
      <c r="L404" s="13">
        <v>0.01</v>
      </c>
    </row>
    <row r="405" spans="10:12" x14ac:dyDescent="0.25">
      <c r="J405" s="1">
        <v>250</v>
      </c>
      <c r="K405" s="1">
        <v>1.04</v>
      </c>
      <c r="L405" s="14">
        <v>0.16</v>
      </c>
    </row>
    <row r="406" spans="10:12" x14ac:dyDescent="0.25">
      <c r="J406" s="8">
        <v>400</v>
      </c>
      <c r="K406" s="1">
        <v>1.04</v>
      </c>
      <c r="L406" s="14">
        <v>0.52</v>
      </c>
    </row>
    <row r="407" spans="10:12" x14ac:dyDescent="0.25">
      <c r="J407" s="1">
        <v>550</v>
      </c>
      <c r="K407" s="1">
        <v>1.04</v>
      </c>
      <c r="L407" s="14">
        <v>0.98</v>
      </c>
    </row>
    <row r="408" spans="10:12" x14ac:dyDescent="0.25">
      <c r="J408" s="8">
        <v>700</v>
      </c>
      <c r="K408" s="1">
        <v>1.04</v>
      </c>
      <c r="L408" s="14">
        <v>1</v>
      </c>
    </row>
    <row r="409" spans="10:12" x14ac:dyDescent="0.25">
      <c r="J409" s="1">
        <v>850</v>
      </c>
      <c r="K409" s="1">
        <v>1.04</v>
      </c>
      <c r="L409" s="14">
        <v>1</v>
      </c>
    </row>
    <row r="410" spans="10:12" x14ac:dyDescent="0.25">
      <c r="J410" s="8">
        <v>1000</v>
      </c>
      <c r="K410" s="1">
        <v>1.04</v>
      </c>
      <c r="L410" s="14">
        <v>1</v>
      </c>
    </row>
    <row r="411" spans="10:12" x14ac:dyDescent="0.25">
      <c r="J411" s="1">
        <v>1150</v>
      </c>
      <c r="K411" s="1">
        <v>1.04</v>
      </c>
      <c r="L411" s="14">
        <v>1</v>
      </c>
    </row>
    <row r="412" spans="10:12" x14ac:dyDescent="0.25">
      <c r="J412" s="8">
        <v>1300</v>
      </c>
      <c r="K412" s="1">
        <v>1.04</v>
      </c>
      <c r="L412" s="14">
        <v>1.04</v>
      </c>
    </row>
    <row r="413" spans="10:12" x14ac:dyDescent="0.25">
      <c r="J413" s="1">
        <v>1450</v>
      </c>
      <c r="K413" s="1">
        <v>1.04</v>
      </c>
      <c r="L413" s="14">
        <v>1.04</v>
      </c>
    </row>
    <row r="414" spans="10:12" x14ac:dyDescent="0.25">
      <c r="J414" s="8">
        <v>1600</v>
      </c>
      <c r="K414" s="1">
        <v>1.04</v>
      </c>
      <c r="L414" s="14">
        <v>1.04</v>
      </c>
    </row>
    <row r="415" spans="10:12" x14ac:dyDescent="0.25">
      <c r="J415" s="1">
        <v>1750</v>
      </c>
      <c r="K415" s="1">
        <v>1.04</v>
      </c>
      <c r="L415" s="14">
        <v>1.04</v>
      </c>
    </row>
    <row r="416" spans="10:12" x14ac:dyDescent="0.25">
      <c r="J416" s="8">
        <v>1900</v>
      </c>
      <c r="K416" s="1">
        <v>1.04</v>
      </c>
      <c r="L416" s="14">
        <v>1.04</v>
      </c>
    </row>
    <row r="417" spans="10:12" x14ac:dyDescent="0.25">
      <c r="J417" s="1">
        <v>2050</v>
      </c>
      <c r="K417" s="1">
        <v>1.04</v>
      </c>
      <c r="L417" s="14">
        <v>1.04</v>
      </c>
    </row>
    <row r="418" spans="10:12" x14ac:dyDescent="0.25">
      <c r="J418" s="8">
        <v>2200</v>
      </c>
      <c r="K418" s="1">
        <v>1.04</v>
      </c>
      <c r="L418" s="14">
        <v>1.04</v>
      </c>
    </row>
    <row r="419" spans="10:12" x14ac:dyDescent="0.25">
      <c r="J419" s="1">
        <v>2350</v>
      </c>
      <c r="K419" s="1">
        <v>1.04</v>
      </c>
      <c r="L419" s="14">
        <v>1</v>
      </c>
    </row>
    <row r="420" spans="10:12" x14ac:dyDescent="0.25">
      <c r="J420" s="8">
        <v>2500</v>
      </c>
      <c r="K420" s="1">
        <v>1.04</v>
      </c>
      <c r="L420" s="14">
        <v>1</v>
      </c>
    </row>
    <row r="421" spans="10:12" x14ac:dyDescent="0.25">
      <c r="J421" s="1">
        <v>2650</v>
      </c>
      <c r="K421" s="1">
        <v>1.04</v>
      </c>
      <c r="L421" s="14">
        <v>1</v>
      </c>
    </row>
    <row r="422" spans="10:12" x14ac:dyDescent="0.25">
      <c r="J422" s="8">
        <v>2800</v>
      </c>
      <c r="K422" s="1">
        <v>1.04</v>
      </c>
      <c r="L422" s="14">
        <v>1</v>
      </c>
    </row>
    <row r="423" spans="10:12" x14ac:dyDescent="0.25">
      <c r="J423" s="1">
        <v>2950</v>
      </c>
      <c r="K423" s="1">
        <v>1.04</v>
      </c>
      <c r="L423" s="14">
        <v>1.04</v>
      </c>
    </row>
    <row r="424" spans="10:12" x14ac:dyDescent="0.25">
      <c r="J424" s="8">
        <v>3100</v>
      </c>
      <c r="K424" s="1">
        <v>1.04</v>
      </c>
      <c r="L424" s="14">
        <v>1.04</v>
      </c>
    </row>
    <row r="425" spans="10:12" x14ac:dyDescent="0.25">
      <c r="J425" s="1">
        <v>3250</v>
      </c>
      <c r="K425" s="1">
        <v>1.04</v>
      </c>
      <c r="L425" s="14">
        <v>1.04</v>
      </c>
    </row>
    <row r="426" spans="10:12" x14ac:dyDescent="0.25">
      <c r="J426" s="8">
        <v>3400</v>
      </c>
      <c r="K426" s="1">
        <v>1.04</v>
      </c>
      <c r="L426" s="14">
        <v>0.9</v>
      </c>
    </row>
    <row r="427" spans="10:12" x14ac:dyDescent="0.25">
      <c r="J427" s="1">
        <v>3550</v>
      </c>
      <c r="K427" s="1">
        <v>1.04</v>
      </c>
      <c r="L427" s="14">
        <v>0.68</v>
      </c>
    </row>
    <row r="428" spans="10:12" x14ac:dyDescent="0.25">
      <c r="J428" s="8">
        <v>3700</v>
      </c>
      <c r="K428" s="1">
        <v>1.04</v>
      </c>
      <c r="L428" s="14">
        <v>0.28000000000000003</v>
      </c>
    </row>
    <row r="429" spans="10:12" x14ac:dyDescent="0.25">
      <c r="J429" s="1">
        <v>3850</v>
      </c>
      <c r="K429" s="1">
        <v>1.04</v>
      </c>
      <c r="L429" s="14">
        <v>0.08</v>
      </c>
    </row>
    <row r="430" spans="10:12" x14ac:dyDescent="0.25">
      <c r="J430" s="8">
        <v>4000</v>
      </c>
      <c r="K430" s="1">
        <v>1.04</v>
      </c>
      <c r="L430" s="14">
        <v>0.01</v>
      </c>
    </row>
    <row r="431" spans="10:12" x14ac:dyDescent="0.25">
      <c r="J431" s="1">
        <v>4150</v>
      </c>
      <c r="K431" s="1">
        <v>1.04</v>
      </c>
      <c r="L431" s="14">
        <v>0.01</v>
      </c>
    </row>
    <row r="432" spans="10:12" x14ac:dyDescent="0.25">
      <c r="J432" s="8">
        <v>4300</v>
      </c>
      <c r="K432" s="1">
        <v>1.04</v>
      </c>
      <c r="L432" s="14">
        <v>0.01</v>
      </c>
    </row>
    <row r="433" spans="10:12" x14ac:dyDescent="0.25">
      <c r="J433" s="1">
        <v>4450</v>
      </c>
      <c r="K433" s="1">
        <v>1.04</v>
      </c>
      <c r="L433" s="14">
        <v>0.01</v>
      </c>
    </row>
    <row r="434" spans="10:12" x14ac:dyDescent="0.25">
      <c r="J434" s="8">
        <v>4600</v>
      </c>
      <c r="K434" s="1">
        <v>1.04</v>
      </c>
      <c r="L434" s="14">
        <v>0.01</v>
      </c>
    </row>
    <row r="437" spans="10:12" ht="15.75" thickBot="1" x14ac:dyDescent="0.3"/>
    <row r="438" spans="10:12" x14ac:dyDescent="0.25">
      <c r="J438" s="10" t="s">
        <v>15</v>
      </c>
      <c r="K438" s="11"/>
      <c r="L438" s="12"/>
    </row>
    <row r="439" spans="10:12" ht="15.75" thickBot="1" x14ac:dyDescent="0.3">
      <c r="J439" s="4" t="s">
        <v>0</v>
      </c>
      <c r="K439" s="5" t="s">
        <v>1</v>
      </c>
      <c r="L439" s="6" t="s">
        <v>2</v>
      </c>
    </row>
    <row r="440" spans="10:12" x14ac:dyDescent="0.25">
      <c r="J440" s="8">
        <v>100</v>
      </c>
      <c r="K440" s="8">
        <v>1.04</v>
      </c>
      <c r="L440" s="13">
        <v>0.01</v>
      </c>
    </row>
    <row r="441" spans="10:12" x14ac:dyDescent="0.25">
      <c r="J441" s="1">
        <v>250</v>
      </c>
      <c r="K441" s="1">
        <v>1.04</v>
      </c>
      <c r="L441" s="14">
        <v>0.12</v>
      </c>
    </row>
    <row r="442" spans="10:12" x14ac:dyDescent="0.25">
      <c r="J442" s="8">
        <v>400</v>
      </c>
      <c r="K442" s="1">
        <v>1.04</v>
      </c>
      <c r="L442" s="14">
        <v>0.16</v>
      </c>
    </row>
    <row r="443" spans="10:12" x14ac:dyDescent="0.25">
      <c r="J443" s="1">
        <v>550</v>
      </c>
      <c r="K443" s="1">
        <v>1.04</v>
      </c>
      <c r="L443" s="14">
        <v>0.4</v>
      </c>
    </row>
    <row r="444" spans="10:12" x14ac:dyDescent="0.25">
      <c r="J444" s="8">
        <v>700</v>
      </c>
      <c r="K444" s="1">
        <v>1.04</v>
      </c>
      <c r="L444" s="14">
        <v>0.98</v>
      </c>
    </row>
    <row r="445" spans="10:12" x14ac:dyDescent="0.25">
      <c r="J445" s="1">
        <v>850</v>
      </c>
      <c r="K445" s="1">
        <v>1.04</v>
      </c>
      <c r="L445" s="14">
        <v>1</v>
      </c>
    </row>
    <row r="446" spans="10:12" x14ac:dyDescent="0.25">
      <c r="J446" s="8">
        <v>1000</v>
      </c>
      <c r="K446" s="1">
        <v>1.04</v>
      </c>
      <c r="L446" s="14">
        <v>1</v>
      </c>
    </row>
    <row r="447" spans="10:12" x14ac:dyDescent="0.25">
      <c r="J447" s="1">
        <v>1150</v>
      </c>
      <c r="K447" s="1">
        <v>1.04</v>
      </c>
      <c r="L447" s="14">
        <v>1</v>
      </c>
    </row>
    <row r="448" spans="10:12" x14ac:dyDescent="0.25">
      <c r="J448" s="8">
        <v>1300</v>
      </c>
      <c r="K448" s="1">
        <v>1.04</v>
      </c>
      <c r="L448" s="14">
        <v>1.04</v>
      </c>
    </row>
    <row r="449" spans="10:12" x14ac:dyDescent="0.25">
      <c r="J449" s="1">
        <v>1450</v>
      </c>
      <c r="K449" s="1">
        <v>1.04</v>
      </c>
      <c r="L449" s="14">
        <v>1.04</v>
      </c>
    </row>
    <row r="450" spans="10:12" x14ac:dyDescent="0.25">
      <c r="J450" s="8">
        <v>1600</v>
      </c>
      <c r="K450" s="1">
        <v>1.04</v>
      </c>
      <c r="L450" s="14">
        <v>1.04</v>
      </c>
    </row>
    <row r="451" spans="10:12" x14ac:dyDescent="0.25">
      <c r="J451" s="1">
        <v>1750</v>
      </c>
      <c r="K451" s="1">
        <v>1.04</v>
      </c>
      <c r="L451" s="14">
        <v>1.04</v>
      </c>
    </row>
    <row r="452" spans="10:12" x14ac:dyDescent="0.25">
      <c r="J452" s="8">
        <v>1900</v>
      </c>
      <c r="K452" s="1">
        <v>1.04</v>
      </c>
      <c r="L452" s="14">
        <v>1.04</v>
      </c>
    </row>
    <row r="453" spans="10:12" x14ac:dyDescent="0.25">
      <c r="J453" s="1">
        <v>2050</v>
      </c>
      <c r="K453" s="1">
        <v>1.04</v>
      </c>
      <c r="L453" s="14">
        <v>1.04</v>
      </c>
    </row>
    <row r="454" spans="10:12" x14ac:dyDescent="0.25">
      <c r="J454" s="8">
        <v>2200</v>
      </c>
      <c r="K454" s="1">
        <v>1.04</v>
      </c>
      <c r="L454" s="14">
        <v>1.04</v>
      </c>
    </row>
    <row r="455" spans="10:12" x14ac:dyDescent="0.25">
      <c r="J455" s="1">
        <v>2350</v>
      </c>
      <c r="K455" s="1">
        <v>1.04</v>
      </c>
      <c r="L455" s="14">
        <v>1.04</v>
      </c>
    </row>
    <row r="456" spans="10:12" x14ac:dyDescent="0.25">
      <c r="J456" s="8">
        <v>2500</v>
      </c>
      <c r="K456" s="1">
        <v>1.04</v>
      </c>
      <c r="L456" s="14">
        <v>1</v>
      </c>
    </row>
    <row r="457" spans="10:12" x14ac:dyDescent="0.25">
      <c r="J457" s="1">
        <v>2650</v>
      </c>
      <c r="K457" s="1">
        <v>1.04</v>
      </c>
      <c r="L457" s="14">
        <v>1</v>
      </c>
    </row>
    <row r="458" spans="10:12" x14ac:dyDescent="0.25">
      <c r="J458" s="8">
        <v>2800</v>
      </c>
      <c r="K458" s="1">
        <v>1.04</v>
      </c>
      <c r="L458" s="14">
        <v>1.04</v>
      </c>
    </row>
    <row r="459" spans="10:12" x14ac:dyDescent="0.25">
      <c r="J459" s="1">
        <v>2950</v>
      </c>
      <c r="K459" s="1">
        <v>1.04</v>
      </c>
      <c r="L459" s="14">
        <v>1.04</v>
      </c>
    </row>
    <row r="460" spans="10:12" x14ac:dyDescent="0.25">
      <c r="J460" s="8">
        <v>3100</v>
      </c>
      <c r="K460" s="1">
        <v>1.04</v>
      </c>
      <c r="L460" s="14">
        <v>1.04</v>
      </c>
    </row>
    <row r="461" spans="10:12" x14ac:dyDescent="0.25">
      <c r="J461" s="1">
        <v>3250</v>
      </c>
      <c r="K461" s="1">
        <v>1.04</v>
      </c>
      <c r="L461" s="14">
        <v>0.98</v>
      </c>
    </row>
    <row r="462" spans="10:12" x14ac:dyDescent="0.25">
      <c r="J462" s="8">
        <v>3400</v>
      </c>
      <c r="K462" s="1">
        <v>1.04</v>
      </c>
      <c r="L462" s="14">
        <v>0.98</v>
      </c>
    </row>
    <row r="463" spans="10:12" x14ac:dyDescent="0.25">
      <c r="J463" s="1">
        <v>3550</v>
      </c>
      <c r="K463" s="1">
        <v>1.04</v>
      </c>
      <c r="L463" s="14">
        <v>0.6</v>
      </c>
    </row>
    <row r="464" spans="10:12" x14ac:dyDescent="0.25">
      <c r="J464" s="8">
        <v>3700</v>
      </c>
      <c r="K464" s="1">
        <v>1.04</v>
      </c>
      <c r="L464" s="14">
        <v>0.08</v>
      </c>
    </row>
    <row r="465" spans="10:12" x14ac:dyDescent="0.25">
      <c r="J465" s="1">
        <v>3850</v>
      </c>
      <c r="K465" s="1">
        <v>1.04</v>
      </c>
      <c r="L465" s="14">
        <v>0.01</v>
      </c>
    </row>
    <row r="466" spans="10:12" x14ac:dyDescent="0.25">
      <c r="J466" s="8">
        <v>4000</v>
      </c>
      <c r="K466" s="1">
        <v>1.04</v>
      </c>
      <c r="L466" s="14">
        <v>0.01</v>
      </c>
    </row>
    <row r="467" spans="10:12" x14ac:dyDescent="0.25">
      <c r="J467" s="1">
        <v>4150</v>
      </c>
      <c r="K467" s="1">
        <v>1.04</v>
      </c>
      <c r="L467" s="14">
        <v>0.01</v>
      </c>
    </row>
    <row r="468" spans="10:12" x14ac:dyDescent="0.25">
      <c r="J468" s="8">
        <v>4300</v>
      </c>
      <c r="K468" s="1">
        <v>1.04</v>
      </c>
      <c r="L468" s="14">
        <v>0.01</v>
      </c>
    </row>
    <row r="469" spans="10:12" x14ac:dyDescent="0.25">
      <c r="J469" s="1">
        <v>4450</v>
      </c>
      <c r="K469" s="1">
        <v>1.04</v>
      </c>
      <c r="L469" s="14">
        <v>0.01</v>
      </c>
    </row>
    <row r="470" spans="10:12" x14ac:dyDescent="0.25">
      <c r="J470" s="8">
        <v>4600</v>
      </c>
      <c r="K470" s="1">
        <v>1.04</v>
      </c>
      <c r="L470" s="14">
        <v>0.01</v>
      </c>
    </row>
    <row r="473" spans="10:12" ht="15.75" thickBot="1" x14ac:dyDescent="0.3"/>
    <row r="474" spans="10:12" x14ac:dyDescent="0.25">
      <c r="J474" s="10" t="s">
        <v>16</v>
      </c>
      <c r="K474" s="11"/>
      <c r="L474" s="12"/>
    </row>
    <row r="475" spans="10:12" ht="15.75" thickBot="1" x14ac:dyDescent="0.3">
      <c r="J475" s="4" t="s">
        <v>0</v>
      </c>
      <c r="K475" s="5" t="s">
        <v>1</v>
      </c>
      <c r="L475" s="6" t="s">
        <v>2</v>
      </c>
    </row>
    <row r="476" spans="10:12" x14ac:dyDescent="0.25">
      <c r="J476" s="8">
        <v>100</v>
      </c>
      <c r="K476" s="8">
        <v>1.04</v>
      </c>
      <c r="L476" s="13">
        <v>0.01</v>
      </c>
    </row>
    <row r="477" spans="10:12" x14ac:dyDescent="0.25">
      <c r="J477" s="1">
        <v>250</v>
      </c>
      <c r="K477" s="1">
        <v>1.04</v>
      </c>
      <c r="L477" s="14">
        <v>0.16</v>
      </c>
    </row>
    <row r="478" spans="10:12" x14ac:dyDescent="0.25">
      <c r="J478" s="8">
        <v>400</v>
      </c>
      <c r="K478" s="1">
        <v>1.04</v>
      </c>
      <c r="L478" s="14">
        <v>0.36</v>
      </c>
    </row>
    <row r="479" spans="10:12" x14ac:dyDescent="0.25">
      <c r="J479" s="1">
        <v>550</v>
      </c>
      <c r="K479" s="1">
        <v>1.04</v>
      </c>
      <c r="L479" s="14">
        <v>0.64</v>
      </c>
    </row>
    <row r="480" spans="10:12" x14ac:dyDescent="0.25">
      <c r="J480" s="8">
        <v>700</v>
      </c>
      <c r="K480" s="1">
        <v>1.04</v>
      </c>
      <c r="L480" s="14">
        <v>0.8</v>
      </c>
    </row>
    <row r="481" spans="10:12" x14ac:dyDescent="0.25">
      <c r="J481" s="1">
        <v>850</v>
      </c>
      <c r="K481" s="1">
        <v>1.04</v>
      </c>
      <c r="L481" s="14">
        <v>0.96</v>
      </c>
    </row>
    <row r="482" spans="10:12" x14ac:dyDescent="0.25">
      <c r="J482" s="8">
        <v>1000</v>
      </c>
      <c r="K482" s="1">
        <v>1.04</v>
      </c>
      <c r="L482" s="14">
        <v>1</v>
      </c>
    </row>
    <row r="483" spans="10:12" x14ac:dyDescent="0.25">
      <c r="J483" s="1">
        <v>1150</v>
      </c>
      <c r="K483" s="1">
        <v>1.04</v>
      </c>
      <c r="L483" s="14">
        <v>1</v>
      </c>
    </row>
    <row r="484" spans="10:12" x14ac:dyDescent="0.25">
      <c r="J484" s="8">
        <v>1300</v>
      </c>
      <c r="K484" s="1">
        <v>1.04</v>
      </c>
      <c r="L484" s="14">
        <v>1</v>
      </c>
    </row>
    <row r="485" spans="10:12" x14ac:dyDescent="0.25">
      <c r="J485" s="1">
        <v>1450</v>
      </c>
      <c r="K485" s="1">
        <v>1.04</v>
      </c>
      <c r="L485" s="14">
        <v>1.04</v>
      </c>
    </row>
    <row r="486" spans="10:12" x14ac:dyDescent="0.25">
      <c r="J486" s="8">
        <v>1600</v>
      </c>
      <c r="K486" s="1">
        <v>1.04</v>
      </c>
      <c r="L486" s="14">
        <v>1.04</v>
      </c>
    </row>
    <row r="487" spans="10:12" x14ac:dyDescent="0.25">
      <c r="J487" s="1">
        <v>1750</v>
      </c>
      <c r="K487" s="1">
        <v>1.04</v>
      </c>
      <c r="L487" s="14">
        <v>1.04</v>
      </c>
    </row>
    <row r="488" spans="10:12" x14ac:dyDescent="0.25">
      <c r="J488" s="8">
        <v>1900</v>
      </c>
      <c r="K488" s="1">
        <v>1.04</v>
      </c>
      <c r="L488" s="14">
        <v>1.04</v>
      </c>
    </row>
    <row r="489" spans="10:12" x14ac:dyDescent="0.25">
      <c r="J489" s="1">
        <v>2050</v>
      </c>
      <c r="K489" s="1">
        <v>1.04</v>
      </c>
      <c r="L489" s="14">
        <v>1.04</v>
      </c>
    </row>
    <row r="490" spans="10:12" x14ac:dyDescent="0.25">
      <c r="J490" s="8">
        <v>2200</v>
      </c>
      <c r="K490" s="1">
        <v>1.04</v>
      </c>
      <c r="L490" s="14">
        <v>1.04</v>
      </c>
    </row>
    <row r="491" spans="10:12" x14ac:dyDescent="0.25">
      <c r="J491" s="1">
        <v>2350</v>
      </c>
      <c r="K491" s="1">
        <v>1.04</v>
      </c>
      <c r="L491" s="14">
        <v>1.04</v>
      </c>
    </row>
    <row r="492" spans="10:12" x14ac:dyDescent="0.25">
      <c r="J492" s="8">
        <v>2500</v>
      </c>
      <c r="K492" s="1">
        <v>1.04</v>
      </c>
      <c r="L492" s="14">
        <v>1.04</v>
      </c>
    </row>
    <row r="493" spans="10:12" x14ac:dyDescent="0.25">
      <c r="J493" s="1">
        <v>2650</v>
      </c>
      <c r="K493" s="1">
        <v>1.04</v>
      </c>
      <c r="L493" s="14">
        <v>1.04</v>
      </c>
    </row>
    <row r="494" spans="10:12" x14ac:dyDescent="0.25">
      <c r="J494" s="8">
        <v>2800</v>
      </c>
      <c r="K494" s="1">
        <v>1.04</v>
      </c>
      <c r="L494" s="14">
        <v>1.04</v>
      </c>
    </row>
    <row r="495" spans="10:12" x14ac:dyDescent="0.25">
      <c r="J495" s="1">
        <v>2950</v>
      </c>
      <c r="K495" s="1">
        <v>1.04</v>
      </c>
      <c r="L495" s="14">
        <v>1.04</v>
      </c>
    </row>
    <row r="496" spans="10:12" x14ac:dyDescent="0.25">
      <c r="J496" s="8">
        <v>3100</v>
      </c>
      <c r="K496" s="1">
        <v>1.04</v>
      </c>
      <c r="L496" s="14">
        <v>0.98</v>
      </c>
    </row>
    <row r="497" spans="10:12" x14ac:dyDescent="0.25">
      <c r="J497" s="1">
        <v>3250</v>
      </c>
      <c r="K497" s="1">
        <v>1.04</v>
      </c>
      <c r="L497" s="14">
        <v>1</v>
      </c>
    </row>
    <row r="498" spans="10:12" x14ac:dyDescent="0.25">
      <c r="J498" s="8">
        <v>3400</v>
      </c>
      <c r="K498" s="1">
        <v>1.04</v>
      </c>
      <c r="L498" s="14">
        <v>0.76</v>
      </c>
    </row>
    <row r="499" spans="10:12" x14ac:dyDescent="0.25">
      <c r="J499" s="1">
        <v>3550</v>
      </c>
      <c r="K499" s="1">
        <v>1.04</v>
      </c>
      <c r="L499" s="14">
        <v>0.64</v>
      </c>
    </row>
    <row r="500" spans="10:12" x14ac:dyDescent="0.25">
      <c r="J500" s="8">
        <v>3700</v>
      </c>
      <c r="K500" s="1">
        <v>1.04</v>
      </c>
      <c r="L500" s="14">
        <v>0.36</v>
      </c>
    </row>
    <row r="501" spans="10:12" x14ac:dyDescent="0.25">
      <c r="J501" s="1">
        <v>3850</v>
      </c>
      <c r="K501" s="1">
        <v>1.04</v>
      </c>
      <c r="L501" s="14">
        <v>0.12</v>
      </c>
    </row>
    <row r="502" spans="10:12" x14ac:dyDescent="0.25">
      <c r="J502" s="8">
        <v>4000</v>
      </c>
      <c r="K502" s="1">
        <v>1.04</v>
      </c>
      <c r="L502" s="14">
        <v>0.08</v>
      </c>
    </row>
    <row r="503" spans="10:12" x14ac:dyDescent="0.25">
      <c r="J503" s="1">
        <v>4150</v>
      </c>
      <c r="K503" s="1">
        <v>1.04</v>
      </c>
      <c r="L503" s="14">
        <v>0.01</v>
      </c>
    </row>
    <row r="504" spans="10:12" x14ac:dyDescent="0.25">
      <c r="J504" s="8">
        <v>4300</v>
      </c>
      <c r="K504" s="1">
        <v>1.04</v>
      </c>
      <c r="L504" s="14">
        <v>0.01</v>
      </c>
    </row>
    <row r="505" spans="10:12" x14ac:dyDescent="0.25">
      <c r="J505" s="1">
        <v>4450</v>
      </c>
      <c r="K505" s="1">
        <v>1.04</v>
      </c>
      <c r="L505" s="14">
        <v>0.01</v>
      </c>
    </row>
    <row r="506" spans="10:12" x14ac:dyDescent="0.25">
      <c r="J506" s="8">
        <v>4600</v>
      </c>
      <c r="K506" s="1">
        <v>1.04</v>
      </c>
      <c r="L506" s="14">
        <v>0.01</v>
      </c>
    </row>
    <row r="509" spans="10:12" ht="15.75" thickBot="1" x14ac:dyDescent="0.3"/>
    <row r="510" spans="10:12" x14ac:dyDescent="0.25">
      <c r="J510" s="10" t="s">
        <v>17</v>
      </c>
      <c r="K510" s="11"/>
      <c r="L510" s="12"/>
    </row>
    <row r="511" spans="10:12" ht="15.75" thickBot="1" x14ac:dyDescent="0.3">
      <c r="J511" s="4" t="s">
        <v>0</v>
      </c>
      <c r="K511" s="5" t="s">
        <v>1</v>
      </c>
      <c r="L511" s="6" t="s">
        <v>2</v>
      </c>
    </row>
    <row r="512" spans="10:12" x14ac:dyDescent="0.25">
      <c r="J512" s="8">
        <v>100</v>
      </c>
      <c r="K512" s="8">
        <v>1.04</v>
      </c>
      <c r="L512" s="13">
        <v>0.01</v>
      </c>
    </row>
    <row r="513" spans="10:12" x14ac:dyDescent="0.25">
      <c r="J513" s="1">
        <v>250</v>
      </c>
      <c r="K513" s="1">
        <v>1.04</v>
      </c>
      <c r="L513" s="14">
        <v>0.16</v>
      </c>
    </row>
    <row r="514" spans="10:12" x14ac:dyDescent="0.25">
      <c r="J514" s="8">
        <v>400</v>
      </c>
      <c r="K514" s="1">
        <v>1.04</v>
      </c>
      <c r="L514" s="14">
        <v>0.36</v>
      </c>
    </row>
    <row r="515" spans="10:12" x14ac:dyDescent="0.25">
      <c r="J515" s="1">
        <v>550</v>
      </c>
      <c r="K515" s="1">
        <v>1.04</v>
      </c>
      <c r="L515" s="14">
        <v>0.46</v>
      </c>
    </row>
    <row r="516" spans="10:12" x14ac:dyDescent="0.25">
      <c r="J516" s="8">
        <v>700</v>
      </c>
      <c r="K516" s="1">
        <v>1.04</v>
      </c>
      <c r="L516" s="14">
        <v>0.8</v>
      </c>
    </row>
    <row r="517" spans="10:12" x14ac:dyDescent="0.25">
      <c r="J517" s="1">
        <v>850</v>
      </c>
      <c r="K517" s="1">
        <v>1.04</v>
      </c>
      <c r="L517" s="14">
        <v>0.92</v>
      </c>
    </row>
    <row r="518" spans="10:12" x14ac:dyDescent="0.25">
      <c r="J518" s="8">
        <v>1000</v>
      </c>
      <c r="K518" s="1">
        <v>1.04</v>
      </c>
      <c r="L518" s="14">
        <v>0.98</v>
      </c>
    </row>
    <row r="519" spans="10:12" x14ac:dyDescent="0.25">
      <c r="J519" s="1">
        <v>1150</v>
      </c>
      <c r="K519" s="1">
        <v>1.04</v>
      </c>
      <c r="L519" s="14">
        <v>1</v>
      </c>
    </row>
    <row r="520" spans="10:12" x14ac:dyDescent="0.25">
      <c r="J520" s="8">
        <v>1300</v>
      </c>
      <c r="K520" s="1">
        <v>1.04</v>
      </c>
      <c r="L520" s="14">
        <v>1</v>
      </c>
    </row>
    <row r="521" spans="10:12" x14ac:dyDescent="0.25">
      <c r="J521" s="1">
        <v>1450</v>
      </c>
      <c r="K521" s="1">
        <v>1.04</v>
      </c>
      <c r="L521" s="14">
        <v>1.04</v>
      </c>
    </row>
    <row r="522" spans="10:12" x14ac:dyDescent="0.25">
      <c r="J522" s="8">
        <v>1600</v>
      </c>
      <c r="K522" s="1">
        <v>1.04</v>
      </c>
      <c r="L522" s="14">
        <v>1.04</v>
      </c>
    </row>
    <row r="523" spans="10:12" x14ac:dyDescent="0.25">
      <c r="J523" s="1">
        <v>1750</v>
      </c>
      <c r="K523" s="1">
        <v>1.04</v>
      </c>
      <c r="L523" s="14">
        <v>1.04</v>
      </c>
    </row>
    <row r="524" spans="10:12" x14ac:dyDescent="0.25">
      <c r="J524" s="8">
        <v>1900</v>
      </c>
      <c r="K524" s="1">
        <v>1.04</v>
      </c>
      <c r="L524" s="14">
        <v>1.04</v>
      </c>
    </row>
    <row r="525" spans="10:12" x14ac:dyDescent="0.25">
      <c r="J525" s="1">
        <v>2050</v>
      </c>
      <c r="K525" s="1">
        <v>1.04</v>
      </c>
      <c r="L525" s="14">
        <v>1</v>
      </c>
    </row>
    <row r="526" spans="10:12" x14ac:dyDescent="0.25">
      <c r="J526" s="8">
        <v>2200</v>
      </c>
      <c r="K526" s="1">
        <v>1.04</v>
      </c>
      <c r="L526" s="14">
        <v>1.04</v>
      </c>
    </row>
    <row r="527" spans="10:12" x14ac:dyDescent="0.25">
      <c r="J527" s="1">
        <v>2350</v>
      </c>
      <c r="K527" s="1">
        <v>1.04</v>
      </c>
      <c r="L527" s="14">
        <v>0.98</v>
      </c>
    </row>
    <row r="528" spans="10:12" x14ac:dyDescent="0.25">
      <c r="J528" s="8">
        <v>2500</v>
      </c>
      <c r="K528" s="1">
        <v>1.04</v>
      </c>
      <c r="L528" s="14">
        <v>0.98</v>
      </c>
    </row>
    <row r="529" spans="10:12" x14ac:dyDescent="0.25">
      <c r="J529" s="1">
        <v>2650</v>
      </c>
      <c r="K529" s="1">
        <v>1.04</v>
      </c>
      <c r="L529" s="14">
        <v>0.98</v>
      </c>
    </row>
    <row r="530" spans="10:12" x14ac:dyDescent="0.25">
      <c r="J530" s="8">
        <v>2800</v>
      </c>
      <c r="K530" s="1">
        <v>1.04</v>
      </c>
      <c r="L530" s="14">
        <v>0.98</v>
      </c>
    </row>
    <row r="531" spans="10:12" x14ac:dyDescent="0.25">
      <c r="J531" s="1">
        <v>2950</v>
      </c>
      <c r="K531" s="1">
        <v>1.04</v>
      </c>
      <c r="L531" s="14">
        <v>0.98</v>
      </c>
    </row>
    <row r="532" spans="10:12" x14ac:dyDescent="0.25">
      <c r="J532" s="8">
        <v>3100</v>
      </c>
      <c r="K532" s="1">
        <v>1.04</v>
      </c>
      <c r="L532" s="14">
        <v>0.98</v>
      </c>
    </row>
    <row r="533" spans="10:12" x14ac:dyDescent="0.25">
      <c r="J533" s="1">
        <v>3250</v>
      </c>
      <c r="K533" s="1">
        <v>1.04</v>
      </c>
      <c r="L533" s="14">
        <v>0.96</v>
      </c>
    </row>
    <row r="534" spans="10:12" x14ac:dyDescent="0.25">
      <c r="J534" s="8">
        <v>3400</v>
      </c>
      <c r="K534" s="1">
        <v>1.04</v>
      </c>
      <c r="L534" s="14">
        <v>0.64</v>
      </c>
    </row>
    <row r="535" spans="10:12" x14ac:dyDescent="0.25">
      <c r="J535" s="1">
        <v>3550</v>
      </c>
      <c r="K535" s="1">
        <v>1.04</v>
      </c>
      <c r="L535" s="14">
        <v>0.52</v>
      </c>
    </row>
    <row r="536" spans="10:12" x14ac:dyDescent="0.25">
      <c r="J536" s="8">
        <v>3700</v>
      </c>
      <c r="K536" s="1">
        <v>1.04</v>
      </c>
      <c r="L536" s="14">
        <v>0.2</v>
      </c>
    </row>
    <row r="537" spans="10:12" x14ac:dyDescent="0.25">
      <c r="J537" s="1">
        <v>3850</v>
      </c>
      <c r="K537" s="1">
        <v>1.04</v>
      </c>
      <c r="L537" s="14">
        <v>0.12</v>
      </c>
    </row>
    <row r="538" spans="10:12" x14ac:dyDescent="0.25">
      <c r="J538" s="8">
        <v>4000</v>
      </c>
      <c r="K538" s="1">
        <v>1.04</v>
      </c>
      <c r="L538" s="14">
        <v>0.08</v>
      </c>
    </row>
    <row r="539" spans="10:12" x14ac:dyDescent="0.25">
      <c r="J539" s="1">
        <v>4150</v>
      </c>
      <c r="K539" s="1">
        <v>1.04</v>
      </c>
      <c r="L539" s="14">
        <v>0.01</v>
      </c>
    </row>
    <row r="540" spans="10:12" x14ac:dyDescent="0.25">
      <c r="J540" s="8">
        <v>4300</v>
      </c>
      <c r="K540" s="1">
        <v>1.04</v>
      </c>
      <c r="L540" s="14">
        <v>0.01</v>
      </c>
    </row>
    <row r="541" spans="10:12" x14ac:dyDescent="0.25">
      <c r="J541" s="1">
        <v>4450</v>
      </c>
      <c r="K541" s="1">
        <v>1.04</v>
      </c>
      <c r="L541" s="14">
        <v>0.01</v>
      </c>
    </row>
    <row r="542" spans="10:12" x14ac:dyDescent="0.25">
      <c r="J542" s="8">
        <v>4600</v>
      </c>
      <c r="K542" s="1">
        <v>1.04</v>
      </c>
      <c r="L542" s="14">
        <v>0.01</v>
      </c>
    </row>
    <row r="545" spans="10:12" ht="15.75" thickBot="1" x14ac:dyDescent="0.3"/>
    <row r="546" spans="10:12" x14ac:dyDescent="0.25">
      <c r="J546" s="10" t="s">
        <v>19</v>
      </c>
      <c r="K546" s="11"/>
      <c r="L546" s="12"/>
    </row>
    <row r="547" spans="10:12" ht="15.75" thickBot="1" x14ac:dyDescent="0.3">
      <c r="J547" s="4" t="s">
        <v>0</v>
      </c>
      <c r="K547" s="5" t="s">
        <v>1</v>
      </c>
      <c r="L547" s="6" t="s">
        <v>2</v>
      </c>
    </row>
    <row r="548" spans="10:12" x14ac:dyDescent="0.25">
      <c r="J548" s="8">
        <v>100</v>
      </c>
      <c r="K548" s="8">
        <v>1.04</v>
      </c>
      <c r="L548" s="13">
        <v>1.04</v>
      </c>
    </row>
    <row r="549" spans="10:12" x14ac:dyDescent="0.25">
      <c r="J549" s="1">
        <v>200</v>
      </c>
      <c r="K549" s="1">
        <v>1.04</v>
      </c>
      <c r="L549" s="14">
        <v>1</v>
      </c>
    </row>
    <row r="550" spans="10:12" x14ac:dyDescent="0.25">
      <c r="J550" s="8">
        <v>300</v>
      </c>
      <c r="K550" s="1">
        <v>1.04</v>
      </c>
      <c r="L550" s="14">
        <v>1.04</v>
      </c>
    </row>
    <row r="551" spans="10:12" x14ac:dyDescent="0.25">
      <c r="J551" s="1">
        <v>400</v>
      </c>
      <c r="K551" s="1">
        <v>1.04</v>
      </c>
      <c r="L551" s="14">
        <v>0.57999999999999996</v>
      </c>
    </row>
    <row r="552" spans="10:12" x14ac:dyDescent="0.25">
      <c r="J552" s="8">
        <v>500</v>
      </c>
      <c r="K552" s="1">
        <v>1.04</v>
      </c>
      <c r="L552" s="14">
        <v>0.12</v>
      </c>
    </row>
    <row r="553" spans="10:12" x14ac:dyDescent="0.25">
      <c r="J553" s="1">
        <v>600</v>
      </c>
      <c r="K553" s="1">
        <v>1.04</v>
      </c>
      <c r="L553" s="14">
        <v>0.01</v>
      </c>
    </row>
    <row r="554" spans="10:12" x14ac:dyDescent="0.25">
      <c r="J554" s="8">
        <v>700</v>
      </c>
      <c r="K554" s="1">
        <v>1.04</v>
      </c>
      <c r="L554" s="14">
        <v>0.4</v>
      </c>
    </row>
    <row r="555" spans="10:12" x14ac:dyDescent="0.25">
      <c r="J555" s="1">
        <v>800</v>
      </c>
      <c r="K555" s="1">
        <v>1.04</v>
      </c>
      <c r="L555" s="14">
        <v>1</v>
      </c>
    </row>
    <row r="556" spans="10:12" x14ac:dyDescent="0.25">
      <c r="J556" s="8">
        <v>900</v>
      </c>
      <c r="K556" s="1">
        <v>1.04</v>
      </c>
      <c r="L556" s="14">
        <v>1</v>
      </c>
    </row>
    <row r="557" spans="10:12" x14ac:dyDescent="0.25">
      <c r="J557" s="1">
        <v>1000</v>
      </c>
      <c r="K557" s="1">
        <v>1.04</v>
      </c>
      <c r="L557" s="14">
        <v>1</v>
      </c>
    </row>
    <row r="558" spans="10:12" x14ac:dyDescent="0.25">
      <c r="J558" s="8">
        <v>1100</v>
      </c>
      <c r="K558" s="1">
        <v>1.04</v>
      </c>
      <c r="L558" s="14">
        <v>0.98</v>
      </c>
    </row>
    <row r="559" spans="10:12" x14ac:dyDescent="0.25">
      <c r="J559" s="1">
        <v>1200</v>
      </c>
      <c r="K559" s="1">
        <v>1.04</v>
      </c>
      <c r="L559" s="14">
        <v>1</v>
      </c>
    </row>
    <row r="560" spans="10:12" x14ac:dyDescent="0.25">
      <c r="J560" s="8">
        <v>1300</v>
      </c>
      <c r="K560" s="1">
        <v>1.04</v>
      </c>
      <c r="L560" s="14">
        <v>1</v>
      </c>
    </row>
    <row r="561" spans="10:12" x14ac:dyDescent="0.25">
      <c r="J561" s="1">
        <v>1400</v>
      </c>
      <c r="K561" s="1">
        <v>1.04</v>
      </c>
      <c r="L561" s="14">
        <v>1</v>
      </c>
    </row>
    <row r="562" spans="10:12" x14ac:dyDescent="0.25">
      <c r="J562" s="8">
        <v>1500</v>
      </c>
      <c r="K562" s="1">
        <v>1.04</v>
      </c>
      <c r="L562" s="14">
        <v>1</v>
      </c>
    </row>
    <row r="563" spans="10:12" x14ac:dyDescent="0.25">
      <c r="J563" s="1">
        <v>1600</v>
      </c>
      <c r="K563" s="1">
        <v>1.04</v>
      </c>
      <c r="L563" s="14">
        <v>1</v>
      </c>
    </row>
    <row r="564" spans="10:12" x14ac:dyDescent="0.25">
      <c r="J564" s="8">
        <v>1700</v>
      </c>
      <c r="K564" s="1">
        <v>1.04</v>
      </c>
      <c r="L564" s="14">
        <v>0.98</v>
      </c>
    </row>
    <row r="565" spans="10:12" x14ac:dyDescent="0.25">
      <c r="J565" s="1">
        <v>1800</v>
      </c>
      <c r="K565" s="1">
        <v>1.04</v>
      </c>
      <c r="L565" s="14">
        <v>1</v>
      </c>
    </row>
    <row r="566" spans="10:12" x14ac:dyDescent="0.25">
      <c r="J566" s="8">
        <v>1900</v>
      </c>
      <c r="K566" s="1">
        <v>1.04</v>
      </c>
      <c r="L566" s="14">
        <v>1</v>
      </c>
    </row>
    <row r="567" spans="10:12" x14ac:dyDescent="0.25">
      <c r="J567" s="1">
        <v>2000</v>
      </c>
      <c r="K567" s="1">
        <v>1.04</v>
      </c>
      <c r="L567" s="14">
        <v>1</v>
      </c>
    </row>
    <row r="568" spans="10:12" x14ac:dyDescent="0.25">
      <c r="J568" s="8">
        <v>2100</v>
      </c>
      <c r="K568" s="1">
        <v>1.04</v>
      </c>
      <c r="L568" s="14">
        <v>1</v>
      </c>
    </row>
    <row r="569" spans="10:12" x14ac:dyDescent="0.25">
      <c r="J569" s="1">
        <v>2200</v>
      </c>
      <c r="K569" s="1">
        <v>1.04</v>
      </c>
      <c r="L569" s="14">
        <v>1</v>
      </c>
    </row>
    <row r="570" spans="10:12" x14ac:dyDescent="0.25">
      <c r="J570" s="8">
        <v>2300</v>
      </c>
      <c r="K570" s="1">
        <v>1.04</v>
      </c>
      <c r="L570" s="14">
        <v>1</v>
      </c>
    </row>
    <row r="571" spans="10:12" x14ac:dyDescent="0.25">
      <c r="J571" s="1">
        <v>2400</v>
      </c>
      <c r="K571" s="1">
        <v>1.04</v>
      </c>
      <c r="L571" s="14">
        <v>1</v>
      </c>
    </row>
    <row r="572" spans="10:12" x14ac:dyDescent="0.25">
      <c r="J572" s="8">
        <v>2500</v>
      </c>
      <c r="K572" s="1">
        <v>1.04</v>
      </c>
      <c r="L572" s="14">
        <v>1</v>
      </c>
    </row>
    <row r="573" spans="10:12" x14ac:dyDescent="0.25">
      <c r="J573" s="1">
        <v>2600</v>
      </c>
      <c r="K573" s="1">
        <v>1.04</v>
      </c>
      <c r="L573" s="14">
        <v>1</v>
      </c>
    </row>
    <row r="574" spans="10:12" x14ac:dyDescent="0.25">
      <c r="J574" s="8">
        <v>2700</v>
      </c>
      <c r="K574" s="1">
        <v>1.04</v>
      </c>
      <c r="L574" s="14">
        <v>1</v>
      </c>
    </row>
    <row r="575" spans="10:12" x14ac:dyDescent="0.25">
      <c r="J575" s="1">
        <v>2800</v>
      </c>
      <c r="K575" s="1">
        <v>1.04</v>
      </c>
      <c r="L575" s="14">
        <v>1</v>
      </c>
    </row>
    <row r="576" spans="10:12" x14ac:dyDescent="0.25">
      <c r="J576" s="8">
        <v>2900</v>
      </c>
      <c r="K576" s="1">
        <v>1.04</v>
      </c>
      <c r="L576" s="14">
        <v>1</v>
      </c>
    </row>
    <row r="577" spans="10:12" x14ac:dyDescent="0.25">
      <c r="J577" s="1">
        <v>3000</v>
      </c>
      <c r="K577" s="1">
        <v>1.04</v>
      </c>
      <c r="L577" s="14">
        <v>1</v>
      </c>
    </row>
    <row r="578" spans="10:12" x14ac:dyDescent="0.25">
      <c r="J578" s="8">
        <v>3100</v>
      </c>
      <c r="K578" s="1">
        <v>1.04</v>
      </c>
      <c r="L578" s="14">
        <v>1</v>
      </c>
    </row>
    <row r="581" spans="10:12" ht="15.75" thickBot="1" x14ac:dyDescent="0.3"/>
    <row r="582" spans="10:12" x14ac:dyDescent="0.25">
      <c r="J582" s="10" t="s">
        <v>20</v>
      </c>
      <c r="K582" s="11"/>
      <c r="L582" s="12"/>
    </row>
    <row r="583" spans="10:12" ht="15.75" thickBot="1" x14ac:dyDescent="0.3">
      <c r="J583" s="4" t="s">
        <v>0</v>
      </c>
      <c r="K583" s="5" t="s">
        <v>1</v>
      </c>
      <c r="L583" s="6" t="s">
        <v>2</v>
      </c>
    </row>
    <row r="584" spans="10:12" x14ac:dyDescent="0.25">
      <c r="J584" s="8">
        <v>100</v>
      </c>
      <c r="K584" s="8">
        <v>1.04</v>
      </c>
      <c r="L584" s="13">
        <v>1.04</v>
      </c>
    </row>
    <row r="585" spans="10:12" x14ac:dyDescent="0.25">
      <c r="J585" s="1">
        <v>200</v>
      </c>
      <c r="K585" s="1">
        <v>1.04</v>
      </c>
      <c r="L585" s="14">
        <v>1.04</v>
      </c>
    </row>
    <row r="586" spans="10:12" x14ac:dyDescent="0.25">
      <c r="J586" s="8">
        <v>300</v>
      </c>
      <c r="K586" s="1">
        <v>1.04</v>
      </c>
      <c r="L586" s="14">
        <v>0.98</v>
      </c>
    </row>
    <row r="587" spans="10:12" x14ac:dyDescent="0.25">
      <c r="J587" s="1">
        <v>400</v>
      </c>
      <c r="K587" s="1">
        <v>1.04</v>
      </c>
      <c r="L587" s="14">
        <v>0.86</v>
      </c>
    </row>
    <row r="588" spans="10:12" x14ac:dyDescent="0.25">
      <c r="J588" s="8">
        <v>500</v>
      </c>
      <c r="K588" s="1">
        <v>1.04</v>
      </c>
      <c r="L588" s="14">
        <v>0.16</v>
      </c>
    </row>
    <row r="589" spans="10:12" x14ac:dyDescent="0.25">
      <c r="J589" s="1">
        <v>600</v>
      </c>
      <c r="K589" s="1">
        <v>1.04</v>
      </c>
      <c r="L589" s="14">
        <v>0.01</v>
      </c>
    </row>
    <row r="590" spans="10:12" x14ac:dyDescent="0.25">
      <c r="J590" s="8">
        <v>700</v>
      </c>
      <c r="K590" s="1">
        <v>1.04</v>
      </c>
      <c r="L590" s="14">
        <v>0.8</v>
      </c>
    </row>
    <row r="591" spans="10:12" x14ac:dyDescent="0.25">
      <c r="J591" s="1">
        <v>800</v>
      </c>
      <c r="K591" s="1">
        <v>1.04</v>
      </c>
      <c r="L591" s="14">
        <v>0.84</v>
      </c>
    </row>
    <row r="592" spans="10:12" x14ac:dyDescent="0.25">
      <c r="J592" s="8">
        <v>900</v>
      </c>
      <c r="K592" s="1">
        <v>1.04</v>
      </c>
      <c r="L592" s="14">
        <v>1</v>
      </c>
    </row>
    <row r="593" spans="10:12" x14ac:dyDescent="0.25">
      <c r="J593" s="1">
        <v>1000</v>
      </c>
      <c r="K593" s="1">
        <v>1.04</v>
      </c>
      <c r="L593" s="14">
        <v>0.98</v>
      </c>
    </row>
    <row r="594" spans="10:12" x14ac:dyDescent="0.25">
      <c r="J594" s="8">
        <v>1100</v>
      </c>
      <c r="K594" s="1">
        <v>1.04</v>
      </c>
      <c r="L594" s="14">
        <v>0.98</v>
      </c>
    </row>
    <row r="595" spans="10:12" x14ac:dyDescent="0.25">
      <c r="J595" s="1">
        <v>1200</v>
      </c>
      <c r="K595" s="1">
        <v>1.04</v>
      </c>
      <c r="L595" s="14">
        <v>0.98</v>
      </c>
    </row>
    <row r="596" spans="10:12" x14ac:dyDescent="0.25">
      <c r="J596" s="8">
        <v>1300</v>
      </c>
      <c r="K596" s="1">
        <v>1.04</v>
      </c>
      <c r="L596" s="14">
        <v>1</v>
      </c>
    </row>
    <row r="597" spans="10:12" x14ac:dyDescent="0.25">
      <c r="J597" s="1">
        <v>1400</v>
      </c>
      <c r="K597" s="1">
        <v>1.04</v>
      </c>
      <c r="L597" s="14">
        <v>1</v>
      </c>
    </row>
    <row r="598" spans="10:12" x14ac:dyDescent="0.25">
      <c r="J598" s="8">
        <v>1500</v>
      </c>
      <c r="K598" s="1">
        <v>1.04</v>
      </c>
      <c r="L598" s="14">
        <v>1</v>
      </c>
    </row>
    <row r="599" spans="10:12" x14ac:dyDescent="0.25">
      <c r="J599" s="1">
        <v>1600</v>
      </c>
      <c r="K599" s="1">
        <v>1.04</v>
      </c>
      <c r="L599" s="14">
        <v>1</v>
      </c>
    </row>
    <row r="600" spans="10:12" x14ac:dyDescent="0.25">
      <c r="J600" s="8">
        <v>1700</v>
      </c>
      <c r="K600" s="1">
        <v>1.04</v>
      </c>
      <c r="L600" s="14">
        <v>1</v>
      </c>
    </row>
    <row r="601" spans="10:12" x14ac:dyDescent="0.25">
      <c r="J601" s="1">
        <v>1800</v>
      </c>
      <c r="K601" s="1">
        <v>1.04</v>
      </c>
      <c r="L601" s="14">
        <v>1</v>
      </c>
    </row>
    <row r="602" spans="10:12" x14ac:dyDescent="0.25">
      <c r="J602" s="8">
        <v>1900</v>
      </c>
      <c r="K602" s="1">
        <v>1.04</v>
      </c>
      <c r="L602" s="14">
        <v>1</v>
      </c>
    </row>
    <row r="603" spans="10:12" x14ac:dyDescent="0.25">
      <c r="J603" s="1">
        <v>2000</v>
      </c>
      <c r="K603" s="1">
        <v>1.04</v>
      </c>
      <c r="L603" s="14">
        <v>1</v>
      </c>
    </row>
    <row r="604" spans="10:12" x14ac:dyDescent="0.25">
      <c r="J604" s="8">
        <v>2100</v>
      </c>
      <c r="K604" s="1">
        <v>1.04</v>
      </c>
      <c r="L604" s="14">
        <v>1</v>
      </c>
    </row>
    <row r="605" spans="10:12" x14ac:dyDescent="0.25">
      <c r="J605" s="1">
        <v>2200</v>
      </c>
      <c r="K605" s="1">
        <v>1.04</v>
      </c>
      <c r="L605" s="14">
        <v>1</v>
      </c>
    </row>
    <row r="606" spans="10:12" x14ac:dyDescent="0.25">
      <c r="J606" s="8">
        <v>2300</v>
      </c>
      <c r="K606" s="1">
        <v>1.04</v>
      </c>
      <c r="L606" s="14">
        <v>1</v>
      </c>
    </row>
    <row r="607" spans="10:12" x14ac:dyDescent="0.25">
      <c r="J607" s="1">
        <v>2400</v>
      </c>
      <c r="K607" s="1">
        <v>1.04</v>
      </c>
      <c r="L607" s="14">
        <v>1</v>
      </c>
    </row>
    <row r="608" spans="10:12" x14ac:dyDescent="0.25">
      <c r="J608" s="8">
        <v>2500</v>
      </c>
      <c r="K608" s="1">
        <v>1.04</v>
      </c>
      <c r="L608" s="14">
        <v>1</v>
      </c>
    </row>
    <row r="609" spans="10:12" x14ac:dyDescent="0.25">
      <c r="J609" s="1">
        <v>2600</v>
      </c>
      <c r="K609" s="1">
        <v>1.04</v>
      </c>
      <c r="L609" s="14">
        <v>1</v>
      </c>
    </row>
    <row r="610" spans="10:12" x14ac:dyDescent="0.25">
      <c r="J610" s="8">
        <v>2700</v>
      </c>
      <c r="K610" s="1">
        <v>1.04</v>
      </c>
      <c r="L610" s="14">
        <v>1</v>
      </c>
    </row>
    <row r="611" spans="10:12" x14ac:dyDescent="0.25">
      <c r="J611" s="1">
        <v>2800</v>
      </c>
      <c r="K611" s="1">
        <v>1.04</v>
      </c>
      <c r="L611" s="14">
        <v>1</v>
      </c>
    </row>
    <row r="612" spans="10:12" x14ac:dyDescent="0.25">
      <c r="J612" s="8">
        <v>2900</v>
      </c>
      <c r="K612" s="1">
        <v>1.04</v>
      </c>
      <c r="L612" s="14">
        <v>1</v>
      </c>
    </row>
    <row r="613" spans="10:12" x14ac:dyDescent="0.25">
      <c r="J613" s="1">
        <v>3000</v>
      </c>
      <c r="K613" s="1">
        <v>1.04</v>
      </c>
      <c r="L613" s="14">
        <v>1</v>
      </c>
    </row>
    <row r="614" spans="10:12" x14ac:dyDescent="0.25">
      <c r="J614" s="8">
        <v>3100</v>
      </c>
      <c r="K614" s="1">
        <v>1.04</v>
      </c>
      <c r="L614" s="14">
        <v>1</v>
      </c>
    </row>
    <row r="617" spans="10:12" ht="15.75" thickBot="1" x14ac:dyDescent="0.3"/>
    <row r="618" spans="10:12" x14ac:dyDescent="0.25">
      <c r="J618" s="10" t="s">
        <v>21</v>
      </c>
      <c r="K618" s="11"/>
      <c r="L618" s="12"/>
    </row>
    <row r="619" spans="10:12" ht="15.75" thickBot="1" x14ac:dyDescent="0.3">
      <c r="J619" s="4" t="s">
        <v>0</v>
      </c>
      <c r="K619" s="5" t="s">
        <v>1</v>
      </c>
      <c r="L619" s="6" t="s">
        <v>2</v>
      </c>
    </row>
    <row r="620" spans="10:12" x14ac:dyDescent="0.25">
      <c r="J620" s="8">
        <v>100</v>
      </c>
      <c r="K620" s="8">
        <v>1.04</v>
      </c>
      <c r="L620" s="13">
        <v>1.04</v>
      </c>
    </row>
    <row r="621" spans="10:12" x14ac:dyDescent="0.25">
      <c r="J621" s="1">
        <v>200</v>
      </c>
      <c r="K621" s="1">
        <v>1.04</v>
      </c>
      <c r="L621" s="14">
        <v>1</v>
      </c>
    </row>
    <row r="622" spans="10:12" x14ac:dyDescent="0.25">
      <c r="J622" s="8">
        <v>300</v>
      </c>
      <c r="K622" s="1">
        <v>1.04</v>
      </c>
      <c r="L622" s="14">
        <v>0.78</v>
      </c>
    </row>
    <row r="623" spans="10:12" x14ac:dyDescent="0.25">
      <c r="J623" s="1">
        <v>400</v>
      </c>
      <c r="K623" s="1">
        <v>1.04</v>
      </c>
      <c r="L623" s="14">
        <v>0.4</v>
      </c>
    </row>
    <row r="624" spans="10:12" x14ac:dyDescent="0.25">
      <c r="J624" s="8">
        <v>500</v>
      </c>
      <c r="K624" s="1">
        <v>1.04</v>
      </c>
      <c r="L624" s="14">
        <v>0.14000000000000001</v>
      </c>
    </row>
    <row r="625" spans="10:12" x14ac:dyDescent="0.25">
      <c r="J625" s="1">
        <v>600</v>
      </c>
      <c r="K625" s="1">
        <v>1.04</v>
      </c>
      <c r="L625" s="14">
        <v>0.04</v>
      </c>
    </row>
    <row r="626" spans="10:12" x14ac:dyDescent="0.25">
      <c r="J626" s="8">
        <v>700</v>
      </c>
      <c r="K626" s="1">
        <v>1.04</v>
      </c>
      <c r="L626" s="14">
        <v>0.2</v>
      </c>
    </row>
    <row r="627" spans="10:12" x14ac:dyDescent="0.25">
      <c r="J627" s="1">
        <v>800</v>
      </c>
      <c r="K627" s="1">
        <v>1.04</v>
      </c>
      <c r="L627" s="14">
        <v>0.6</v>
      </c>
    </row>
    <row r="628" spans="10:12" x14ac:dyDescent="0.25">
      <c r="J628" s="8">
        <v>900</v>
      </c>
      <c r="K628" s="1">
        <v>1.04</v>
      </c>
      <c r="L628" s="14">
        <v>0.94</v>
      </c>
    </row>
    <row r="629" spans="10:12" x14ac:dyDescent="0.25">
      <c r="J629" s="1">
        <v>1000</v>
      </c>
      <c r="K629" s="1">
        <v>1.04</v>
      </c>
      <c r="L629" s="14">
        <v>1</v>
      </c>
    </row>
    <row r="630" spans="10:12" x14ac:dyDescent="0.25">
      <c r="J630" s="8">
        <v>1100</v>
      </c>
      <c r="K630" s="1">
        <v>1.04</v>
      </c>
      <c r="L630" s="14">
        <v>1</v>
      </c>
    </row>
    <row r="631" spans="10:12" x14ac:dyDescent="0.25">
      <c r="J631" s="1">
        <v>1200</v>
      </c>
      <c r="K631" s="1">
        <v>1.04</v>
      </c>
      <c r="L631" s="14">
        <v>1</v>
      </c>
    </row>
    <row r="632" spans="10:12" x14ac:dyDescent="0.25">
      <c r="J632" s="8">
        <v>1300</v>
      </c>
      <c r="K632" s="1">
        <v>1.04</v>
      </c>
      <c r="L632" s="14">
        <v>1</v>
      </c>
    </row>
    <row r="633" spans="10:12" x14ac:dyDescent="0.25">
      <c r="J633" s="1">
        <v>1400</v>
      </c>
      <c r="K633" s="1">
        <v>1.04</v>
      </c>
      <c r="L633" s="14">
        <v>1</v>
      </c>
    </row>
    <row r="634" spans="10:12" x14ac:dyDescent="0.25">
      <c r="J634" s="8">
        <v>1500</v>
      </c>
      <c r="K634" s="1">
        <v>1.04</v>
      </c>
      <c r="L634" s="14">
        <v>0.98</v>
      </c>
    </row>
    <row r="635" spans="10:12" x14ac:dyDescent="0.25">
      <c r="J635" s="1">
        <v>1600</v>
      </c>
      <c r="K635" s="1">
        <v>1.04</v>
      </c>
      <c r="L635" s="14">
        <v>1</v>
      </c>
    </row>
    <row r="636" spans="10:12" x14ac:dyDescent="0.25">
      <c r="J636" s="8">
        <v>1700</v>
      </c>
      <c r="K636" s="1">
        <v>1.04</v>
      </c>
      <c r="L636" s="14">
        <v>1</v>
      </c>
    </row>
    <row r="637" spans="10:12" x14ac:dyDescent="0.25">
      <c r="J637" s="1">
        <v>1800</v>
      </c>
      <c r="K637" s="1">
        <v>1.04</v>
      </c>
      <c r="L637" s="14">
        <v>1</v>
      </c>
    </row>
    <row r="638" spans="10:12" x14ac:dyDescent="0.25">
      <c r="J638" s="8">
        <v>1900</v>
      </c>
      <c r="K638" s="1">
        <v>1.04</v>
      </c>
      <c r="L638" s="14">
        <v>1</v>
      </c>
    </row>
    <row r="639" spans="10:12" x14ac:dyDescent="0.25">
      <c r="J639" s="1">
        <v>2000</v>
      </c>
      <c r="K639" s="1">
        <v>1.04</v>
      </c>
      <c r="L639" s="14">
        <v>1</v>
      </c>
    </row>
    <row r="640" spans="10:12" x14ac:dyDescent="0.25">
      <c r="J640" s="8">
        <v>2100</v>
      </c>
      <c r="K640" s="1">
        <v>1.04</v>
      </c>
      <c r="L640" s="14">
        <v>1</v>
      </c>
    </row>
    <row r="641" spans="10:12" x14ac:dyDescent="0.25">
      <c r="J641" s="1">
        <v>2200</v>
      </c>
      <c r="K641" s="1">
        <v>1.04</v>
      </c>
      <c r="L641" s="14">
        <v>1</v>
      </c>
    </row>
    <row r="642" spans="10:12" x14ac:dyDescent="0.25">
      <c r="J642" s="8">
        <v>2300</v>
      </c>
      <c r="K642" s="1">
        <v>1.04</v>
      </c>
      <c r="L642" s="14">
        <v>1</v>
      </c>
    </row>
    <row r="643" spans="10:12" x14ac:dyDescent="0.25">
      <c r="J643" s="1">
        <v>2400</v>
      </c>
      <c r="K643" s="1">
        <v>1.04</v>
      </c>
      <c r="L643" s="14">
        <v>1</v>
      </c>
    </row>
    <row r="644" spans="10:12" x14ac:dyDescent="0.25">
      <c r="J644" s="8">
        <v>2500</v>
      </c>
      <c r="K644" s="1">
        <v>1.04</v>
      </c>
      <c r="L644" s="14">
        <v>1</v>
      </c>
    </row>
    <row r="645" spans="10:12" x14ac:dyDescent="0.25">
      <c r="J645" s="1">
        <v>2600</v>
      </c>
      <c r="K645" s="1">
        <v>1.04</v>
      </c>
      <c r="L645" s="14">
        <v>1</v>
      </c>
    </row>
    <row r="646" spans="10:12" x14ac:dyDescent="0.25">
      <c r="J646" s="8">
        <v>2700</v>
      </c>
      <c r="K646" s="1">
        <v>1.04</v>
      </c>
      <c r="L646" s="14">
        <v>1</v>
      </c>
    </row>
    <row r="647" spans="10:12" x14ac:dyDescent="0.25">
      <c r="J647" s="1">
        <v>2800</v>
      </c>
      <c r="K647" s="1">
        <v>1.04</v>
      </c>
      <c r="L647" s="14">
        <v>1</v>
      </c>
    </row>
    <row r="648" spans="10:12" x14ac:dyDescent="0.25">
      <c r="J648" s="8">
        <v>2900</v>
      </c>
      <c r="K648" s="1">
        <v>1.04</v>
      </c>
      <c r="L648" s="14">
        <v>1</v>
      </c>
    </row>
    <row r="649" spans="10:12" x14ac:dyDescent="0.25">
      <c r="J649" s="1">
        <v>3000</v>
      </c>
      <c r="K649" s="1">
        <v>1.04</v>
      </c>
      <c r="L649" s="14">
        <v>1</v>
      </c>
    </row>
    <row r="650" spans="10:12" x14ac:dyDescent="0.25">
      <c r="J650" s="8">
        <v>3100</v>
      </c>
      <c r="K650" s="1">
        <v>1.04</v>
      </c>
      <c r="L650" s="14">
        <v>1</v>
      </c>
    </row>
    <row r="653" spans="10:12" ht="15.75" thickBot="1" x14ac:dyDescent="0.3"/>
    <row r="654" spans="10:12" x14ac:dyDescent="0.25">
      <c r="J654" s="10" t="s">
        <v>22</v>
      </c>
      <c r="K654" s="11"/>
      <c r="L654" s="12"/>
    </row>
    <row r="655" spans="10:12" ht="15.75" thickBot="1" x14ac:dyDescent="0.3">
      <c r="J655" s="4" t="s">
        <v>0</v>
      </c>
      <c r="K655" s="5" t="s">
        <v>1</v>
      </c>
      <c r="L655" s="6" t="s">
        <v>2</v>
      </c>
    </row>
    <row r="656" spans="10:12" x14ac:dyDescent="0.25">
      <c r="J656" s="8">
        <v>100</v>
      </c>
      <c r="K656" s="8">
        <v>1.04</v>
      </c>
      <c r="L656" s="13">
        <v>0.88</v>
      </c>
    </row>
    <row r="657" spans="10:12" x14ac:dyDescent="0.25">
      <c r="J657" s="1">
        <v>200</v>
      </c>
      <c r="K657" s="1">
        <v>1.04</v>
      </c>
      <c r="L657" s="14">
        <v>0.72</v>
      </c>
    </row>
    <row r="658" spans="10:12" x14ac:dyDescent="0.25">
      <c r="J658" s="8">
        <v>300</v>
      </c>
      <c r="K658" s="1">
        <v>1.04</v>
      </c>
      <c r="L658" s="14">
        <v>0.52</v>
      </c>
    </row>
    <row r="659" spans="10:12" x14ac:dyDescent="0.25">
      <c r="J659" s="1">
        <v>400</v>
      </c>
      <c r="K659" s="1">
        <v>1.04</v>
      </c>
      <c r="L659" s="14">
        <v>0.32</v>
      </c>
    </row>
    <row r="660" spans="10:12" x14ac:dyDescent="0.25">
      <c r="J660" s="8">
        <v>500</v>
      </c>
      <c r="K660" s="1">
        <v>1.04</v>
      </c>
      <c r="L660" s="14">
        <v>0.16</v>
      </c>
    </row>
    <row r="661" spans="10:12" x14ac:dyDescent="0.25">
      <c r="J661" s="1">
        <v>600</v>
      </c>
      <c r="K661" s="1">
        <v>1.04</v>
      </c>
      <c r="L661" s="14">
        <v>0.08</v>
      </c>
    </row>
    <row r="662" spans="10:12" x14ac:dyDescent="0.25">
      <c r="J662" s="8">
        <v>700</v>
      </c>
      <c r="K662" s="1">
        <v>1.04</v>
      </c>
      <c r="L662" s="14">
        <v>0.08</v>
      </c>
    </row>
    <row r="663" spans="10:12" x14ac:dyDescent="0.25">
      <c r="J663" s="1">
        <v>800</v>
      </c>
      <c r="K663" s="1">
        <v>1.04</v>
      </c>
      <c r="L663" s="14">
        <v>0.2</v>
      </c>
    </row>
    <row r="664" spans="10:12" x14ac:dyDescent="0.25">
      <c r="J664" s="8">
        <v>900</v>
      </c>
      <c r="K664" s="1">
        <v>1.04</v>
      </c>
      <c r="L664" s="14">
        <v>0.42</v>
      </c>
    </row>
    <row r="665" spans="10:12" x14ac:dyDescent="0.25">
      <c r="J665" s="1">
        <v>1000</v>
      </c>
      <c r="K665" s="1">
        <v>1.04</v>
      </c>
      <c r="L665" s="14">
        <v>0.68</v>
      </c>
    </row>
    <row r="666" spans="10:12" x14ac:dyDescent="0.25">
      <c r="J666" s="8">
        <v>1100</v>
      </c>
      <c r="K666" s="1">
        <v>1.04</v>
      </c>
      <c r="L666" s="14">
        <v>0.94</v>
      </c>
    </row>
    <row r="667" spans="10:12" x14ac:dyDescent="0.25">
      <c r="J667" s="1">
        <v>1200</v>
      </c>
      <c r="K667" s="1">
        <v>1.04</v>
      </c>
      <c r="L667" s="14">
        <v>1.04</v>
      </c>
    </row>
    <row r="668" spans="10:12" x14ac:dyDescent="0.25">
      <c r="J668" s="8">
        <v>1300</v>
      </c>
      <c r="K668" s="1">
        <v>1.04</v>
      </c>
      <c r="L668" s="14">
        <v>1.04</v>
      </c>
    </row>
    <row r="669" spans="10:12" x14ac:dyDescent="0.25">
      <c r="J669" s="1">
        <v>1400</v>
      </c>
      <c r="K669" s="1">
        <v>1.04</v>
      </c>
      <c r="L669" s="14">
        <v>1.04</v>
      </c>
    </row>
    <row r="670" spans="10:12" x14ac:dyDescent="0.25">
      <c r="J670" s="8">
        <v>1500</v>
      </c>
      <c r="K670" s="1">
        <v>1.04</v>
      </c>
      <c r="L670" s="14">
        <v>1.04</v>
      </c>
    </row>
    <row r="671" spans="10:12" x14ac:dyDescent="0.25">
      <c r="J671" s="1">
        <v>1600</v>
      </c>
      <c r="K671" s="1">
        <v>1.04</v>
      </c>
      <c r="L671" s="14">
        <v>0.98</v>
      </c>
    </row>
    <row r="672" spans="10:12" x14ac:dyDescent="0.25">
      <c r="J672" s="8">
        <v>1700</v>
      </c>
      <c r="K672" s="1">
        <v>1.04</v>
      </c>
      <c r="L672" s="14">
        <v>0.96</v>
      </c>
    </row>
    <row r="673" spans="10:12" x14ac:dyDescent="0.25">
      <c r="J673" s="1">
        <v>1800</v>
      </c>
      <c r="K673" s="1">
        <v>1.04</v>
      </c>
      <c r="L673" s="14">
        <v>0.96</v>
      </c>
    </row>
    <row r="674" spans="10:12" x14ac:dyDescent="0.25">
      <c r="J674" s="8">
        <v>1900</v>
      </c>
      <c r="K674" s="1">
        <v>1.04</v>
      </c>
      <c r="L674" s="14">
        <v>0.95</v>
      </c>
    </row>
    <row r="675" spans="10:12" x14ac:dyDescent="0.25">
      <c r="J675" s="1">
        <v>2000</v>
      </c>
      <c r="K675" s="1">
        <v>1.04</v>
      </c>
      <c r="L675" s="14">
        <v>0.96</v>
      </c>
    </row>
    <row r="676" spans="10:12" x14ac:dyDescent="0.25">
      <c r="J676" s="8">
        <v>2100</v>
      </c>
      <c r="K676" s="1">
        <v>1.04</v>
      </c>
      <c r="L676" s="14">
        <v>0.98</v>
      </c>
    </row>
    <row r="677" spans="10:12" x14ac:dyDescent="0.25">
      <c r="J677" s="1">
        <v>2200</v>
      </c>
      <c r="K677" s="1">
        <v>1.04</v>
      </c>
      <c r="L677" s="14">
        <v>0.98</v>
      </c>
    </row>
    <row r="678" spans="10:12" x14ac:dyDescent="0.25">
      <c r="J678" s="8">
        <v>2300</v>
      </c>
      <c r="K678" s="1">
        <v>1.04</v>
      </c>
      <c r="L678" s="14">
        <v>1</v>
      </c>
    </row>
    <row r="679" spans="10:12" x14ac:dyDescent="0.25">
      <c r="J679" s="1">
        <v>2400</v>
      </c>
      <c r="K679" s="1">
        <v>1.04</v>
      </c>
      <c r="L679" s="14">
        <v>1</v>
      </c>
    </row>
    <row r="680" spans="10:12" x14ac:dyDescent="0.25">
      <c r="J680" s="8">
        <v>2500</v>
      </c>
      <c r="K680" s="1">
        <v>1.04</v>
      </c>
      <c r="L680" s="14">
        <v>1</v>
      </c>
    </row>
    <row r="681" spans="10:12" x14ac:dyDescent="0.25">
      <c r="J681" s="1">
        <v>2600</v>
      </c>
      <c r="K681" s="1">
        <v>1.04</v>
      </c>
      <c r="L681" s="14">
        <v>1</v>
      </c>
    </row>
    <row r="682" spans="10:12" x14ac:dyDescent="0.25">
      <c r="J682" s="8">
        <v>2700</v>
      </c>
      <c r="K682" s="1">
        <v>1.04</v>
      </c>
      <c r="L682" s="14">
        <v>0.98</v>
      </c>
    </row>
    <row r="683" spans="10:12" x14ac:dyDescent="0.25">
      <c r="J683" s="1">
        <v>2800</v>
      </c>
      <c r="K683" s="1">
        <v>1.04</v>
      </c>
      <c r="L683" s="14">
        <v>0.98</v>
      </c>
    </row>
    <row r="684" spans="10:12" x14ac:dyDescent="0.25">
      <c r="J684" s="8">
        <v>2900</v>
      </c>
      <c r="K684" s="1">
        <v>1.04</v>
      </c>
      <c r="L684" s="14">
        <v>0.98</v>
      </c>
    </row>
    <row r="685" spans="10:12" x14ac:dyDescent="0.25">
      <c r="J685" s="1">
        <v>3000</v>
      </c>
      <c r="K685" s="1">
        <v>1.04</v>
      </c>
      <c r="L685" s="14">
        <v>0.98</v>
      </c>
    </row>
    <row r="686" spans="10:12" x14ac:dyDescent="0.25">
      <c r="J686" s="8">
        <v>3100</v>
      </c>
      <c r="K686" s="1">
        <v>1.04</v>
      </c>
      <c r="L686" s="14">
        <v>0.98</v>
      </c>
    </row>
    <row r="689" spans="10:12" ht="15.75" thickBot="1" x14ac:dyDescent="0.3"/>
    <row r="690" spans="10:12" x14ac:dyDescent="0.25">
      <c r="J690" s="10" t="s">
        <v>18</v>
      </c>
      <c r="K690" s="11"/>
      <c r="L690" s="12"/>
    </row>
    <row r="691" spans="10:12" ht="15.75" thickBot="1" x14ac:dyDescent="0.3">
      <c r="J691" s="4" t="s">
        <v>0</v>
      </c>
      <c r="K691" s="5" t="s">
        <v>1</v>
      </c>
      <c r="L691" s="6" t="s">
        <v>2</v>
      </c>
    </row>
    <row r="692" spans="10:12" x14ac:dyDescent="0.25">
      <c r="J692" s="8">
        <v>100</v>
      </c>
      <c r="K692" s="8">
        <v>1.04</v>
      </c>
      <c r="L692" s="13">
        <v>0.84</v>
      </c>
    </row>
    <row r="693" spans="10:12" x14ac:dyDescent="0.25">
      <c r="J693" s="1">
        <v>200</v>
      </c>
      <c r="K693" s="1">
        <v>1.04</v>
      </c>
      <c r="L693" s="14">
        <v>0.78</v>
      </c>
    </row>
    <row r="694" spans="10:12" x14ac:dyDescent="0.25">
      <c r="J694" s="8">
        <v>300</v>
      </c>
      <c r="K694" s="1">
        <v>1.04</v>
      </c>
      <c r="L694" s="14">
        <v>0.54</v>
      </c>
    </row>
    <row r="695" spans="10:12" x14ac:dyDescent="0.25">
      <c r="J695" s="1">
        <v>400</v>
      </c>
      <c r="K695" s="1">
        <v>1.04</v>
      </c>
      <c r="L695" s="14">
        <v>0.34</v>
      </c>
    </row>
    <row r="696" spans="10:12" x14ac:dyDescent="0.25">
      <c r="J696" s="8">
        <v>500</v>
      </c>
      <c r="K696" s="1">
        <v>1.04</v>
      </c>
      <c r="L696" s="14">
        <v>0.22</v>
      </c>
    </row>
    <row r="697" spans="10:12" x14ac:dyDescent="0.25">
      <c r="J697" s="1">
        <v>600</v>
      </c>
      <c r="K697" s="1">
        <v>1.04</v>
      </c>
      <c r="L697" s="14">
        <v>0.14000000000000001</v>
      </c>
    </row>
    <row r="698" spans="10:12" x14ac:dyDescent="0.25">
      <c r="J698" s="8">
        <v>700</v>
      </c>
      <c r="K698" s="1">
        <v>1.04</v>
      </c>
      <c r="L698" s="14">
        <v>0.1</v>
      </c>
    </row>
    <row r="699" spans="10:12" x14ac:dyDescent="0.25">
      <c r="J699" s="1">
        <v>800</v>
      </c>
      <c r="K699" s="1">
        <v>1.04</v>
      </c>
      <c r="L699" s="14">
        <v>0.18</v>
      </c>
    </row>
    <row r="700" spans="10:12" x14ac:dyDescent="0.25">
      <c r="J700" s="8">
        <v>900</v>
      </c>
      <c r="K700" s="1">
        <v>1.04</v>
      </c>
      <c r="L700" s="14">
        <v>0.34</v>
      </c>
    </row>
    <row r="701" spans="10:12" x14ac:dyDescent="0.25">
      <c r="J701" s="1">
        <v>1000</v>
      </c>
      <c r="K701" s="1">
        <v>1.04</v>
      </c>
      <c r="L701" s="14">
        <v>0.52</v>
      </c>
    </row>
    <row r="702" spans="10:12" x14ac:dyDescent="0.25">
      <c r="J702" s="8">
        <v>1100</v>
      </c>
      <c r="K702" s="1">
        <v>1.04</v>
      </c>
      <c r="L702" s="14">
        <v>0.7</v>
      </c>
    </row>
    <row r="703" spans="10:12" x14ac:dyDescent="0.25">
      <c r="J703" s="1">
        <v>1200</v>
      </c>
      <c r="K703" s="1">
        <v>1.04</v>
      </c>
      <c r="L703" s="14">
        <v>0.9</v>
      </c>
    </row>
    <row r="704" spans="10:12" x14ac:dyDescent="0.25">
      <c r="J704" s="8">
        <v>1300</v>
      </c>
      <c r="K704" s="1">
        <v>1.04</v>
      </c>
      <c r="L704" s="14">
        <v>1.04</v>
      </c>
    </row>
    <row r="705" spans="10:12" x14ac:dyDescent="0.25">
      <c r="J705" s="1">
        <v>1400</v>
      </c>
      <c r="K705" s="1">
        <v>1.04</v>
      </c>
      <c r="L705" s="14">
        <v>1.04</v>
      </c>
    </row>
    <row r="706" spans="10:12" x14ac:dyDescent="0.25">
      <c r="J706" s="8">
        <v>1500</v>
      </c>
      <c r="K706" s="1">
        <v>1.04</v>
      </c>
      <c r="L706" s="14">
        <v>1.04</v>
      </c>
    </row>
    <row r="707" spans="10:12" x14ac:dyDescent="0.25">
      <c r="J707" s="1">
        <v>1600</v>
      </c>
      <c r="K707" s="1">
        <v>1.04</v>
      </c>
      <c r="L707" s="14">
        <v>1.04</v>
      </c>
    </row>
    <row r="708" spans="10:12" x14ac:dyDescent="0.25">
      <c r="J708" s="8">
        <v>1700</v>
      </c>
      <c r="K708" s="1">
        <v>1.04</v>
      </c>
      <c r="L708" s="14">
        <v>1.04</v>
      </c>
    </row>
    <row r="709" spans="10:12" x14ac:dyDescent="0.25">
      <c r="J709" s="1">
        <v>1800</v>
      </c>
      <c r="K709" s="1">
        <v>1.04</v>
      </c>
      <c r="L709" s="14">
        <v>1.04</v>
      </c>
    </row>
    <row r="710" spans="10:12" x14ac:dyDescent="0.25">
      <c r="J710" s="8">
        <v>1900</v>
      </c>
      <c r="K710" s="1">
        <v>1.04</v>
      </c>
      <c r="L710" s="14">
        <v>1</v>
      </c>
    </row>
    <row r="711" spans="10:12" x14ac:dyDescent="0.25">
      <c r="J711" s="1">
        <v>2000</v>
      </c>
      <c r="K711" s="1">
        <v>1.04</v>
      </c>
      <c r="L711" s="14">
        <v>1</v>
      </c>
    </row>
    <row r="712" spans="10:12" x14ac:dyDescent="0.25">
      <c r="J712" s="8">
        <v>2100</v>
      </c>
      <c r="K712" s="1">
        <v>1.04</v>
      </c>
      <c r="L712" s="14">
        <v>0.98</v>
      </c>
    </row>
    <row r="713" spans="10:12" x14ac:dyDescent="0.25">
      <c r="J713" s="1">
        <v>2200</v>
      </c>
      <c r="K713" s="1">
        <v>1.04</v>
      </c>
      <c r="L713" s="14">
        <v>0.98</v>
      </c>
    </row>
    <row r="714" spans="10:12" x14ac:dyDescent="0.25">
      <c r="J714" s="8">
        <v>2300</v>
      </c>
      <c r="K714" s="1">
        <v>1.04</v>
      </c>
      <c r="L714" s="14">
        <v>0.98</v>
      </c>
    </row>
    <row r="715" spans="10:12" x14ac:dyDescent="0.25">
      <c r="J715" s="1">
        <v>2400</v>
      </c>
      <c r="K715" s="1">
        <v>1.04</v>
      </c>
      <c r="L715" s="14">
        <v>1</v>
      </c>
    </row>
    <row r="716" spans="10:12" x14ac:dyDescent="0.25">
      <c r="J716" s="8">
        <v>2500</v>
      </c>
      <c r="K716" s="1">
        <v>1.04</v>
      </c>
      <c r="L716" s="14">
        <v>1</v>
      </c>
    </row>
    <row r="717" spans="10:12" x14ac:dyDescent="0.25">
      <c r="J717" s="1">
        <v>2600</v>
      </c>
      <c r="K717" s="1">
        <v>1.04</v>
      </c>
      <c r="L717" s="14">
        <v>1</v>
      </c>
    </row>
    <row r="718" spans="10:12" x14ac:dyDescent="0.25">
      <c r="J718" s="8">
        <v>2700</v>
      </c>
      <c r="K718" s="1">
        <v>1.04</v>
      </c>
      <c r="L718" s="14">
        <v>1</v>
      </c>
    </row>
    <row r="719" spans="10:12" x14ac:dyDescent="0.25">
      <c r="J719" s="1">
        <v>2800</v>
      </c>
      <c r="K719" s="1">
        <v>1.04</v>
      </c>
      <c r="L719" s="14">
        <v>1</v>
      </c>
    </row>
    <row r="720" spans="10:12" x14ac:dyDescent="0.25">
      <c r="J720" s="8">
        <v>2900</v>
      </c>
      <c r="K720" s="1">
        <v>1.04</v>
      </c>
      <c r="L720" s="14">
        <v>1</v>
      </c>
    </row>
    <row r="721" spans="10:12" x14ac:dyDescent="0.25">
      <c r="J721" s="1">
        <v>3000</v>
      </c>
      <c r="K721" s="1">
        <v>1.04</v>
      </c>
      <c r="L721" s="14">
        <v>1</v>
      </c>
    </row>
    <row r="722" spans="10:12" x14ac:dyDescent="0.25">
      <c r="J722" s="8">
        <v>3100</v>
      </c>
      <c r="K722" s="1">
        <v>1.04</v>
      </c>
      <c r="L722" s="14">
        <v>1</v>
      </c>
    </row>
  </sheetData>
  <mergeCells count="20">
    <mergeCell ref="J582:L582"/>
    <mergeCell ref="J618:L618"/>
    <mergeCell ref="J654:L654"/>
    <mergeCell ref="J690:L690"/>
    <mergeCell ref="J402:L402"/>
    <mergeCell ref="J438:L438"/>
    <mergeCell ref="J474:L474"/>
    <mergeCell ref="J510:L510"/>
    <mergeCell ref="J546:L546"/>
    <mergeCell ref="J366:L366"/>
    <mergeCell ref="J6:L6"/>
    <mergeCell ref="J42:L42"/>
    <mergeCell ref="J78:L78"/>
    <mergeCell ref="J114:L114"/>
    <mergeCell ref="J150:L150"/>
    <mergeCell ref="J186:L186"/>
    <mergeCell ref="J222:L222"/>
    <mergeCell ref="J258:L258"/>
    <mergeCell ref="J294:L294"/>
    <mergeCell ref="J330:L3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2026-02-12T03:23:35Z</dcterms:modified>
</cp:coreProperties>
</file>